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isez-moi" sheetId="1" state="visible" r:id="rId3"/>
    <sheet name="Synthèse" sheetId="2" state="visible" r:id="rId4"/>
    <sheet name="Hypothèses" sheetId="3" state="visible" r:id="rId5"/>
    <sheet name="Projec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<sst xmlns="http://schemas.openxmlformats.org/spreadsheetml/2006/main" count="167" uniqueCount="126">
  <si>
    <t xml:space="preserve">Humatiq · projection financière sur 3 ans</t>
  </si>
  <si>
    <t xml:space="preserve">Trois scénarios (prudent, central, ambitieux) sur trois années, pour tester si le modèle est viable.</t>
  </si>
  <si>
    <t xml:space="preserve">Comment l'utiliser</t>
  </si>
  <si>
    <t xml:space="preserve">1. Onglet « Hypothèses » : les cellules jaunes sont à ajuster (prix, temps passé, charges, volumes vendus par an).</t>
  </si>
  <si>
    <t xml:space="preserve">2. Onglet « Projection » : tout se calcule (chiffre d'affaires par activité, charges, cotisations, revenu, jours de travail).</t>
  </si>
  <si>
    <t xml:space="preserve">3. Onglet « Synthèse » : les chiffres clés et le graphique à comparer d'un scénario à l'autre.</t>
  </si>
  <si>
    <t xml:space="preserve">Ce qu'il faut garder en tête</t>
  </si>
  <si>
    <t xml:space="preserve">Les volumes sont des hypothèses de travail, pas des prévisions. Remplacez-les par vos chiffres dès les premiers clients.</t>
  </si>
  <si>
    <t xml:space="preserve">Le taux de cotisations (25 %) est une approximation pour une micro-entreprise de prestations de services : vérifiez-le avec votre comptable ou l'URSSAF.</t>
  </si>
  <si>
    <t xml:space="preserve">Le plafond de chiffre d'affaires de la micro-entreprise pour les services (83 600 € en 2026, source : lefreelance.fr) est signalé : au-delà, il faut changer de statut.</t>
  </si>
  <si>
    <t xml:space="preserve">La TVA n'est pas modélisée : prix considérés hors taxe, en franchise de TVA tant que le seuil n'est pas dépassé.</t>
  </si>
  <si>
    <t xml:space="preserve">La ligne « Jours de travail » compare le temps nécessaire aux jours disponibles : si elle dépasse, le scénario n'est pas tenable sans partenaires.</t>
  </si>
  <si>
    <t xml:space="preserve">Ce document n'est pas un conseil financier ou comptable.</t>
  </si>
  <si>
    <t xml:space="preserve">Synthèse</t>
  </si>
  <si>
    <t xml:space="preserve">Les chiffres clés par scénario. Lecture : Année 1 à Année 3.</t>
  </si>
  <si>
    <t xml:space="preserve">Prudent</t>
  </si>
  <si>
    <t xml:space="preserve">Central</t>
  </si>
  <si>
    <t xml:space="preserve">Ambitieux</t>
  </si>
  <si>
    <t xml:space="preserve">A1</t>
  </si>
  <si>
    <t xml:space="preserve">A2</t>
  </si>
  <si>
    <t xml:space="preserve">A3</t>
  </si>
  <si>
    <t xml:space="preserve">Chiffre d'affaires</t>
  </si>
  <si>
    <t xml:space="preserve">Revenu net avant impôt</t>
  </si>
  <si>
    <t xml:space="preserve">Revenu net par mois</t>
  </si>
  <si>
    <t xml:space="preserve">Dont commissions du réseau</t>
  </si>
  <si>
    <t xml:space="preserve">Missions réalisées par le réseau</t>
  </si>
  <si>
    <t xml:space="preserve">Jours de travail</t>
  </si>
  <si>
    <t xml:space="preserve">Taux d'occupation</t>
  </si>
  <si>
    <t xml:space="preserve">Plafond micro dépassé ?</t>
  </si>
  <si>
    <t xml:space="preserve">Chiffre d'affaires par année</t>
  </si>
  <si>
    <t xml:space="preserve">Année</t>
  </si>
  <si>
    <t xml:space="preserve">Année 1</t>
  </si>
  <si>
    <t xml:space="preserve">Année 2</t>
  </si>
  <si>
    <t xml:space="preserve">Année 3</t>
  </si>
  <si>
    <t xml:space="preserve">Hypothèses</t>
  </si>
  <si>
    <t xml:space="preserve">Cellules jaunes : à ajuster. Prix hors taxe.</t>
  </si>
  <si>
    <t xml:space="preserve">Offre</t>
  </si>
  <si>
    <t xml:space="preserve">Prix HT (€)</t>
  </si>
  <si>
    <t xml:space="preserve">Commentaire</t>
  </si>
  <si>
    <t xml:space="preserve">Diagnostic seul</t>
  </si>
  <si>
    <t xml:space="preserve">Demi-journée sur site + analyse et rapport</t>
  </si>
  <si>
    <t xml:space="preserve">Pack Démarrage</t>
  </si>
  <si>
    <t xml:space="preserve">Diagnostic + 3 automatisations + prise en main</t>
  </si>
  <si>
    <t xml:space="preserve">Automatisation à l'unité (prix moyen)</t>
  </si>
  <si>
    <t xml:space="preserve">Entre 600 € (simple) et 1 500 € (avancée)</t>
  </si>
  <si>
    <t xml:space="preserve">Suivi mensuel (par client et par mois)</t>
  </si>
  <si>
    <t xml:space="preserve">Surveillance, corrections, petites évolutions</t>
  </si>
  <si>
    <t xml:space="preserve">Atelier Repérer 3 h (groupe)</t>
  </si>
  <si>
    <t xml:space="preserve">Préparation comprise</t>
  </si>
  <si>
    <t xml:space="preserve">Formation 1 jour (groupe)</t>
  </si>
  <si>
    <t xml:space="preserve">Formation 2 jours (groupe)</t>
  </si>
  <si>
    <t xml:space="preserve">Masterclass 2 h (par participant)</t>
  </si>
  <si>
    <t xml:space="preserve">Temps compté par session plus bas</t>
  </si>
  <si>
    <t xml:space="preserve">Parcours Intégrateur (par participant)</t>
  </si>
  <si>
    <t xml:space="preserve">Temps compté par cohorte plus bas</t>
  </si>
  <si>
    <t xml:space="preserve">Mission confiée à un partenaire (valeur moyenne)</t>
  </si>
  <si>
    <t xml:space="preserve">Facturée par le partenaire</t>
  </si>
  <si>
    <t xml:space="preserve">Paramètres</t>
  </si>
  <si>
    <t xml:space="preserve">Valeur</t>
  </si>
  <si>
    <t xml:space="preserve">Jours par masterclass (préparation comprise)</t>
  </si>
  <si>
    <t xml:space="preserve">Jours par cohorte du Parcours Intégrateur</t>
  </si>
  <si>
    <t xml:space="preserve">6 sessions + corrections</t>
  </si>
  <si>
    <t xml:space="preserve">Jours de suivi par partenaire actif et par an</t>
  </si>
  <si>
    <t xml:space="preserve">Qualité, relectures, appui</t>
  </si>
  <si>
    <t xml:space="preserve">Commission sur les missions des partenaires</t>
  </si>
  <si>
    <t xml:space="preserve">Les apporteurs prennent souvent 5 à 12 %</t>
  </si>
  <si>
    <t xml:space="preserve">Jours facturables disponibles par an</t>
  </si>
  <si>
    <t xml:space="preserve">Environ 10 jours par mois, à côté de SowlSafe</t>
  </si>
  <si>
    <t xml:space="preserve">Taux de cotisations sociales (approximation)</t>
  </si>
  <si>
    <t xml:space="preserve">À vérifier : URSSAF / comptable</t>
  </si>
  <si>
    <t xml:space="preserve">Outils numériques (€ par mois)</t>
  </si>
  <si>
    <t xml:space="preserve">Make, Google Workspace, nom de domaine…</t>
  </si>
  <si>
    <t xml:space="preserve">Assurance RC Pro, banque, comptable (€ par an)</t>
  </si>
  <si>
    <t xml:space="preserve">Marketing (part du chiffre d'affaires)</t>
  </si>
  <si>
    <t xml:space="preserve">Salons, publicité, supports</t>
  </si>
  <si>
    <t xml:space="preserve">Déplacements (€ par jour sur site)</t>
  </si>
  <si>
    <t xml:space="preserve">Appliqué aux diagnostics, packs et formations</t>
  </si>
  <si>
    <t xml:space="preserve">Qualiopi : audit initial (€)</t>
  </si>
  <si>
    <t xml:space="preserve">Indépendant : 600 à 1 200 € HT (kaliopi.io)</t>
  </si>
  <si>
    <t xml:space="preserve">Qualiopi : coût annuel ensuite (€)</t>
  </si>
  <si>
    <t xml:space="preserve">Audit de surveillance tous les 18 mois</t>
  </si>
  <si>
    <t xml:space="preserve">Plafond micro-entreprise services (€)</t>
  </si>
  <si>
    <t xml:space="preserve">Valeur 2026, source lefreelance.fr</t>
  </si>
  <si>
    <t xml:space="preserve">Volumes vendus par an</t>
  </si>
  <si>
    <t xml:space="preserve">Diagnostics vendus seuls</t>
  </si>
  <si>
    <t xml:space="preserve">Packs Démarrage</t>
  </si>
  <si>
    <t xml:space="preserve">Automatisations à l'unité</t>
  </si>
  <si>
    <t xml:space="preserve">Suivi : nombre de mois-clients</t>
  </si>
  <si>
    <t xml:space="preserve">Ateliers Repérer 3 h</t>
  </si>
  <si>
    <t xml:space="preserve">Formations 1 jour</t>
  </si>
  <si>
    <t xml:space="preserve">Formations 2 jours</t>
  </si>
  <si>
    <t xml:space="preserve">Masterclass (sessions)</t>
  </si>
  <si>
    <t xml:space="preserve">Participants par masterclass</t>
  </si>
  <si>
    <t xml:space="preserve">Cohortes du Parcours Intégrateur</t>
  </si>
  <si>
    <t xml:space="preserve">Participants par cohorte</t>
  </si>
  <si>
    <t xml:space="preserve">Partenaires actifs (moyenne sur l'année)</t>
  </si>
  <si>
    <t xml:space="preserve">Missions par partenaire et par an</t>
  </si>
  <si>
    <t xml:space="preserve">Qualiopi (1 = obtenue cette année-là, 2 = déjà obtenue)</t>
  </si>
  <si>
    <t xml:space="preserve">Les volumes de partenaires supposent que des diplômés du Parcours rejoignent le réseau (environ 1 sur 3).</t>
  </si>
  <si>
    <t xml:space="preserve">Projection</t>
  </si>
  <si>
    <t xml:space="preserve">Tout est calculé à partir de l'onglet Hypothèses.</t>
  </si>
  <si>
    <t xml:space="preserve">Diagnostics</t>
  </si>
  <si>
    <t xml:space="preserve">Suivi mensuel</t>
  </si>
  <si>
    <t xml:space="preserve">Formations en entreprise</t>
  </si>
  <si>
    <t xml:space="preserve">Masterclass</t>
  </si>
  <si>
    <t xml:space="preserve">Parcours Intégrateur</t>
  </si>
  <si>
    <t xml:space="preserve">Commissions sur le réseau</t>
  </si>
  <si>
    <t xml:space="preserve">Chiffre d'affaires total</t>
  </si>
  <si>
    <t xml:space="preserve">Pour info : missions réalisées par le réseau (CA des partenaires)</t>
  </si>
  <si>
    <t xml:space="preserve">Charges</t>
  </si>
  <si>
    <t xml:space="preserve">Outils numériques</t>
  </si>
  <si>
    <t xml:space="preserve">Assurance, banque, comptable</t>
  </si>
  <si>
    <t xml:space="preserve">Marketing</t>
  </si>
  <si>
    <t xml:space="preserve">Déplacements</t>
  </si>
  <si>
    <t xml:space="preserve">Qualiopi</t>
  </si>
  <si>
    <t xml:space="preserve">Total des charges</t>
  </si>
  <si>
    <t xml:space="preserve">Cotisations sociales</t>
  </si>
  <si>
    <t xml:space="preserve">Résultat</t>
  </si>
  <si>
    <t xml:space="preserve">Soit par mois</t>
  </si>
  <si>
    <t xml:space="preserve">Part du CA venant du réseau</t>
  </si>
  <si>
    <t xml:space="preserve">Part du CA récurrent (suivi)</t>
  </si>
  <si>
    <t xml:space="preserve">Temps de travail</t>
  </si>
  <si>
    <t xml:space="preserve">Jours de travail nécessaires</t>
  </si>
  <si>
    <t xml:space="preserve">Taux d'occupation (jours nécessaires / disponibles)</t>
  </si>
  <si>
    <t xml:space="preserve">Chiffre d'affaires par jour travaillé</t>
  </si>
  <si>
    <t xml:space="preserve">Plafond micro-entreprise dépassé 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</si>
</sst>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\-#,##0&quot; €&quot;;\-"/>
    <numFmt numFmtId="166" formatCode="#,##0.0;\-#,##0.0;\-"/>
    <numFmt numFmtId="167" formatCode="0%"/>
    <numFmt numFmtId="168" formatCode="#,##0;\-#,##0;\-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3231E"/>
      <name val="Arial"/>
      <family val="0"/>
      <charset val="1"/>
    </font>
    <font>
      <sz val="11"/>
      <color rgb="FF56655F"/>
      <name val="Arial"/>
      <family val="0"/>
      <charset val="1"/>
    </font>
    <font>
      <b val="true"/>
      <sz val="13"/>
      <color rgb="FF8A5E00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6655F"/>
      <name val="Arial"/>
      <family val="0"/>
      <charset val="1"/>
    </font>
    <font>
      <b val="true"/>
      <sz val="16"/>
      <color rgb="FF13231E"/>
      <name val="Arial"/>
      <family val="0"/>
      <charset val="1"/>
    </font>
    <font>
      <i val="true"/>
      <sz val="11"/>
      <color rgb="FF5665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56655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8A5E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665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3231E"/>
        <bgColor rgb="FF333333"/>
      </patternFill>
    </fill>
    <fill>
      <patternFill patternType="solid">
        <fgColor rgb="FF8A5E00"/>
        <bgColor rgb="FF9B2C1E"/>
      </patternFill>
    </fill>
    <fill>
      <patternFill patternType="solid">
        <fgColor rgb="FFFBEFCF"/>
        <bgColor rgb="FFFFF4CC"/>
      </patternFill>
    </fill>
    <fill>
      <patternFill patternType="solid">
        <fgColor rgb="FFFFF4CC"/>
        <bgColor rgb="FFFBEFCF"/>
      </patternFill>
    </fill>
    <fill>
      <patternFill patternType="solid">
        <fgColor rgb="FFF4F6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E"/>
      </left>
      <right style="thin">
        <color rgb="FFC9D3CE"/>
      </right>
      <top style="thin">
        <color rgb="FFC9D3CE"/>
      </top>
      <bottom style="thin">
        <color rgb="FFC9D3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B2C1E"/>
      </font>
      <fill>
        <patternFill>
          <bgColor rgb="FFF8E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E00"/>
      <rgbColor rgb="FF800080"/>
      <rgbColor rgb="FF008080"/>
      <rgbColor rgb="FFC9D3CE"/>
      <rgbColor rgb="FF878787"/>
      <rgbColor rgb="FF9999FF"/>
      <rgbColor rgb="FF993366"/>
      <rgbColor rgb="FFFFF4CC"/>
      <rgbColor rgb="FFF4F6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D6CF"/>
      <rgbColor rgb="FFFBEFCF"/>
      <rgbColor rgb="FF99CCFF"/>
      <rgbColor rgb="FFFF99CC"/>
      <rgbColor rgb="FFCC99FF"/>
      <rgbColor rgb="FFF8E1DC"/>
      <rgbColor rgb="FF3366FF"/>
      <rgbColor rgb="FF33CCCC"/>
      <rgbColor rgb="FF99CC00"/>
      <rgbColor rgb="FFFFCC00"/>
      <rgbColor rgb="FFC98A00"/>
      <rgbColor rgb="FFFF6600"/>
      <rgbColor rgb="FF56655F"/>
      <rgbColor rgb="FF969696"/>
      <rgbColor rgb="FF003366"/>
      <rgbColor rgb="FF339966"/>
      <rgbColor rgb="FF13231E"/>
      <rgbColor rgb="FF333300"/>
      <rgbColor rgb="FF9B2C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Chiffre d'affaires par scénario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Synthèse!C18</c:f>
              <c:strCache>
                <c:ptCount val="1"/>
                <c:pt idx="0">
                  <c:v>Prudent</c:v>
                </c:pt>
              </c:strCache>
            </c:strRef>
          </c:tx>
          <c:spPr>
            <a:solidFill>
              <a:srgbClr val="c9d6cf"/>
            </a:solidFill>
            <a:ln w="0">
              <a:solidFill>
                <a:srgbClr val="c9d6c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Synthèse!$C$19:$C$21</c:f>
              <c:numCache>
                <c:formatCode>#,##0" €";\-#,##0" €";\-</c:formatCode>
                <c:ptCount val="3"/>
                <c:pt idx="0">
                  <c:v>23074</c:v>
                </c:pt>
                <c:pt idx="1">
                  <c:v>50690</c:v>
                </c:pt>
                <c:pt idx="2">
                  <c:v>75704</c:v>
                </c:pt>
              </c:numCache>
            </c:numRef>
          </c:val>
        </c:ser>
        <c:ser>
          <c:idx val="1"/>
          <c:order val="1"/>
          <c:tx>
            <c:strRef>
              <c:f>Synthèse!D18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c98a00"/>
            </a:solidFill>
            <a:ln w="0">
              <a:solidFill>
                <a:srgbClr val="c98a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Synthèse!$D$19:$D$21</c:f>
              <c:numCache>
                <c:formatCode>#,##0" €";\-#,##0" €";\-</c:formatCode>
                <c:ptCount val="3"/>
                <c:pt idx="0">
                  <c:v>51054</c:v>
                </c:pt>
                <c:pt idx="1">
                  <c:v>100560</c:v>
                </c:pt>
                <c:pt idx="2">
                  <c:v>149592</c:v>
                </c:pt>
              </c:numCache>
            </c:numRef>
          </c:val>
        </c:ser>
        <c:ser>
          <c:idx val="2"/>
          <c:order val="2"/>
          <c:tx>
            <c:strRef>
              <c:f>Synthèse!E18</c:f>
              <c:strCache>
                <c:ptCount val="1"/>
                <c:pt idx="0">
                  <c:v>Ambitieux</c:v>
                </c:pt>
              </c:strCache>
            </c:strRef>
          </c:tx>
          <c:spPr>
            <a:solidFill>
              <a:srgbClr val="13231e"/>
            </a:solidFill>
            <a:ln w="0">
              <a:solidFill>
                <a:srgbClr val="13231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Synthèse!$B$19:$B$21</c:f>
              <c:strCache>
                <c:ptCount val="3"/>
                <c:pt idx="0">
                  <c:v>Année 1</c:v>
                </c:pt>
                <c:pt idx="1">
                  <c:v>Année 2</c:v>
                </c:pt>
                <c:pt idx="2">
                  <c:v>Année 3</c:v>
                </c:pt>
              </c:strCache>
            </c:strRef>
          </c:cat>
          <c:val>
            <c:numRef>
              <c:f>Synthèse!$E$19:$E$21</c:f>
              <c:numCache>
                <c:formatCode>#,##0" €";\-#,##0" €";\-</c:formatCode>
                <c:ptCount val="3"/>
                <c:pt idx="0">
                  <c:v>85490</c:v>
                </c:pt>
                <c:pt idx="1">
                  <c:v>160440</c:v>
                </c:pt>
                <c:pt idx="2">
                  <c:v>237280</c:v>
                </c:pt>
              </c:numCache>
            </c:numRef>
          </c:val>
        </c:ser>
        <c:gapWidth val="150"/>
        <c:overlap val="0"/>
        <c:axId val="26133879"/>
        <c:axId val="34505363"/>
      </c:barChart>
      <c:catAx>
        <c:axId val="2613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505363"/>
        <c:crosses val="autoZero"/>
        <c:auto val="1"/>
        <c:lblAlgn val="ctr"/>
        <c:lblOffset val="100"/>
        <c:noMultiLvlLbl val="0"/>
      </c:catAx>
      <c:valAx>
        <c:axId val="3450536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 HT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€&quot;;\-#,##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338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15</xdr:row>
      <xdr:rowOff>131040</xdr:rowOff>
    </xdr:from>
    <xdr:to>
      <xdr:col>12</xdr:col>
      <xdr:colOff>370440</xdr:colOff>
      <xdr:row>30</xdr:row>
      <xdr:rowOff>153000</xdr:rowOff>
    </xdr:to>
    <xdr:graphicFrame>
      <xdr:nvGraphicFramePr>
        <xdr:cNvPr id="0" name="Chart 1"/>
        <xdr:cNvGraphicFramePr/>
      </xdr:nvGraphicFramePr>
      <xdr:xfrm>
        <a:off x="5779800" y="3048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3"/>
    </row>
    <row r="10" customFormat="false" ht="16.15" hidden="false" customHeight="false" outlineLevel="0" collapsed="false">
      <c r="B10" s="4" t="s">
        <v>6</v>
      </c>
    </row>
    <row r="11" customFormat="false" ht="26.85" hidden="false" customHeight="false" outlineLevel="0" collapsed="false">
      <c r="B11" s="5" t="s">
        <v>7</v>
      </c>
    </row>
    <row r="12" customFormat="false" ht="26.85" hidden="false" customHeight="false" outlineLevel="0" collapsed="false">
      <c r="B12" s="5" t="s">
        <v>8</v>
      </c>
    </row>
    <row r="13" customFormat="false" ht="26.8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26.8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11" min="3" style="0" width="13"/>
  </cols>
  <sheetData>
    <row r="2" customFormat="false" ht="19.7" hidden="false" customHeight="false" outlineLevel="0" collapsed="false">
      <c r="B2" s="7" t="s">
        <v>13</v>
      </c>
    </row>
    <row r="3" customFormat="false" ht="15" hidden="false" customHeight="false" outlineLevel="0" collapsed="false">
      <c r="B3" s="8" t="s">
        <v>14</v>
      </c>
    </row>
    <row r="5" customFormat="false" ht="15" hidden="false" customHeight="false" outlineLevel="0" collapsed="false">
      <c r="C5" s="9" t="s">
        <v>15</v>
      </c>
      <c r="D5" s="9"/>
      <c r="E5" s="9"/>
      <c r="F5" s="10" t="s">
        <v>16</v>
      </c>
      <c r="G5" s="10"/>
      <c r="H5" s="10"/>
      <c r="I5" s="9" t="s">
        <v>17</v>
      </c>
      <c r="J5" s="9"/>
      <c r="K5" s="9"/>
    </row>
    <row r="6" customFormat="false" ht="15" hidden="false" customHeight="false" outlineLevel="0" collapsed="false">
      <c r="C6" s="11" t="s">
        <v>18</v>
      </c>
      <c r="D6" s="11" t="s">
        <v>19</v>
      </c>
      <c r="E6" s="11" t="s">
        <v>20</v>
      </c>
      <c r="F6" s="11" t="s">
        <v>18</v>
      </c>
      <c r="G6" s="11" t="s">
        <v>19</v>
      </c>
      <c r="H6" s="11" t="s">
        <v>20</v>
      </c>
      <c r="I6" s="11" t="s">
        <v>18</v>
      </c>
      <c r="J6" s="11" t="s">
        <v>19</v>
      </c>
      <c r="K6" s="11" t="s">
        <v>20</v>
      </c>
    </row>
    <row r="7" customFormat="false" ht="15" hidden="false" customHeight="false" outlineLevel="0" collapsed="false">
      <c r="B7" s="12" t="s">
        <v>21</v>
      </c>
      <c r="C7" s="13" t="n">
        <f aca="false">Projection!C18</f>
        <v>23074</v>
      </c>
      <c r="D7" s="13" t="n">
        <f aca="false">Projection!D18</f>
        <v>50690</v>
      </c>
      <c r="E7" s="13" t="n">
        <f aca="false">Projection!E18</f>
        <v>75704</v>
      </c>
      <c r="F7" s="13" t="n">
        <f aca="false">Projection!F18</f>
        <v>51054</v>
      </c>
      <c r="G7" s="13" t="n">
        <f aca="false">Projection!G18</f>
        <v>100560</v>
      </c>
      <c r="H7" s="13" t="n">
        <f aca="false">Projection!H18</f>
        <v>149592</v>
      </c>
      <c r="I7" s="13" t="n">
        <f aca="false">Projection!I18</f>
        <v>85490</v>
      </c>
      <c r="J7" s="13" t="n">
        <f aca="false">Projection!J18</f>
        <v>160440</v>
      </c>
      <c r="K7" s="13" t="n">
        <f aca="false">Projection!K18</f>
        <v>237280</v>
      </c>
    </row>
    <row r="8" customFormat="false" ht="15" hidden="false" customHeight="false" outlineLevel="0" collapsed="false">
      <c r="B8" s="12" t="s">
        <v>22</v>
      </c>
      <c r="C8" s="14" t="n">
        <f aca="false">Projection!C31</f>
        <v>13853.28</v>
      </c>
      <c r="D8" s="14" t="n">
        <f aca="false">Projection!D31</f>
        <v>32916.8</v>
      </c>
      <c r="E8" s="14" t="n">
        <f aca="false">Projection!E31</f>
        <v>48906.88</v>
      </c>
      <c r="F8" s="14" t="n">
        <f aca="false">Projection!F31</f>
        <v>33178.88</v>
      </c>
      <c r="G8" s="14" t="n">
        <f aca="false">Projection!G31</f>
        <v>66383.2</v>
      </c>
      <c r="H8" s="14" t="n">
        <f aca="false">Projection!H31</f>
        <v>101066.24</v>
      </c>
      <c r="I8" s="14" t="n">
        <f aca="false">Projection!I31</f>
        <v>57152.8</v>
      </c>
      <c r="J8" s="14" t="n">
        <f aca="false">Projection!J31</f>
        <v>108276.8</v>
      </c>
      <c r="K8" s="14" t="n">
        <f aca="false">Projection!K31</f>
        <v>162621.6</v>
      </c>
    </row>
    <row r="9" customFormat="false" ht="15" hidden="false" customHeight="false" outlineLevel="0" collapsed="false">
      <c r="B9" s="12" t="s">
        <v>23</v>
      </c>
      <c r="C9" s="14" t="n">
        <f aca="false">Projection!C32</f>
        <v>1154.44</v>
      </c>
      <c r="D9" s="14" t="n">
        <f aca="false">Projection!D32</f>
        <v>2743.06666666667</v>
      </c>
      <c r="E9" s="14" t="n">
        <f aca="false">Projection!E32</f>
        <v>4075.57333333333</v>
      </c>
      <c r="F9" s="14" t="n">
        <f aca="false">Projection!F32</f>
        <v>2764.90666666667</v>
      </c>
      <c r="G9" s="14" t="n">
        <f aca="false">Projection!G32</f>
        <v>5531.93333333333</v>
      </c>
      <c r="H9" s="14" t="n">
        <f aca="false">Projection!H32</f>
        <v>8422.18666666667</v>
      </c>
      <c r="I9" s="14" t="n">
        <f aca="false">Projection!I32</f>
        <v>4762.73333333333</v>
      </c>
      <c r="J9" s="14" t="n">
        <f aca="false">Projection!J32</f>
        <v>9023.06666666667</v>
      </c>
      <c r="K9" s="14" t="n">
        <f aca="false">Projection!K32</f>
        <v>13551.8</v>
      </c>
    </row>
    <row r="10" customFormat="false" ht="15" hidden="false" customHeight="false" outlineLevel="0" collapsed="false">
      <c r="B10" s="12" t="s">
        <v>24</v>
      </c>
      <c r="C10" s="13" t="n">
        <f aca="false">Projection!C17</f>
        <v>0</v>
      </c>
      <c r="D10" s="13" t="n">
        <f aca="false">Projection!D17</f>
        <v>2610</v>
      </c>
      <c r="E10" s="13" t="n">
        <f aca="false">Projection!E17</f>
        <v>6960</v>
      </c>
      <c r="F10" s="13" t="n">
        <f aca="false">Projection!F17</f>
        <v>870</v>
      </c>
      <c r="G10" s="13" t="n">
        <f aca="false">Projection!G17</f>
        <v>6960</v>
      </c>
      <c r="H10" s="13" t="n">
        <f aca="false">Projection!H17</f>
        <v>17400</v>
      </c>
      <c r="I10" s="13" t="n">
        <f aca="false">Projection!I17</f>
        <v>2610</v>
      </c>
      <c r="J10" s="13" t="n">
        <f aca="false">Projection!J17</f>
        <v>17400</v>
      </c>
      <c r="K10" s="13" t="n">
        <f aca="false">Projection!K17</f>
        <v>39150</v>
      </c>
    </row>
    <row r="11" customFormat="false" ht="15" hidden="false" customHeight="false" outlineLevel="0" collapsed="false">
      <c r="B11" s="12" t="s">
        <v>25</v>
      </c>
      <c r="C11" s="13" t="n">
        <f aca="false">Projection!C19</f>
        <v>0</v>
      </c>
      <c r="D11" s="13" t="n">
        <f aca="false">Projection!D19</f>
        <v>17400</v>
      </c>
      <c r="E11" s="13" t="n">
        <f aca="false">Projection!E19</f>
        <v>46400</v>
      </c>
      <c r="F11" s="13" t="n">
        <f aca="false">Projection!F19</f>
        <v>5800</v>
      </c>
      <c r="G11" s="13" t="n">
        <f aca="false">Projection!G19</f>
        <v>46400</v>
      </c>
      <c r="H11" s="13" t="n">
        <f aca="false">Projection!H19</f>
        <v>116000</v>
      </c>
      <c r="I11" s="13" t="n">
        <f aca="false">Projection!I19</f>
        <v>17400</v>
      </c>
      <c r="J11" s="13" t="n">
        <f aca="false">Projection!J19</f>
        <v>116000</v>
      </c>
      <c r="K11" s="13" t="n">
        <f aca="false">Projection!K19</f>
        <v>261000</v>
      </c>
    </row>
    <row r="12" customFormat="false" ht="15" hidden="false" customHeight="false" outlineLevel="0" collapsed="false">
      <c r="B12" s="12" t="s">
        <v>26</v>
      </c>
      <c r="C12" s="15" t="n">
        <f aca="false">Projection!C37</f>
        <v>39</v>
      </c>
      <c r="D12" s="15" t="n">
        <f aca="false">Projection!D37</f>
        <v>81.5</v>
      </c>
      <c r="E12" s="15" t="n">
        <f aca="false">Projection!E37</f>
        <v>115</v>
      </c>
      <c r="F12" s="15" t="n">
        <f aca="false">Projection!F37</f>
        <v>78</v>
      </c>
      <c r="G12" s="15" t="n">
        <f aca="false">Projection!G37</f>
        <v>143.5</v>
      </c>
      <c r="H12" s="15" t="n">
        <f aca="false">Projection!H37</f>
        <v>206</v>
      </c>
      <c r="I12" s="15" t="n">
        <f aca="false">Projection!I37</f>
        <v>121.5</v>
      </c>
      <c r="J12" s="15" t="n">
        <f aca="false">Projection!J37</f>
        <v>213.5</v>
      </c>
      <c r="K12" s="15" t="n">
        <f aca="false">Projection!K37</f>
        <v>302</v>
      </c>
    </row>
    <row r="13" customFormat="false" ht="15" hidden="false" customHeight="false" outlineLevel="0" collapsed="false">
      <c r="B13" s="12" t="s">
        <v>27</v>
      </c>
      <c r="C13" s="16" t="n">
        <f aca="false">Projection!C38</f>
        <v>0.325</v>
      </c>
      <c r="D13" s="16" t="n">
        <f aca="false">Projection!D38</f>
        <v>0.679166666666667</v>
      </c>
      <c r="E13" s="16" t="n">
        <f aca="false">Projection!E38</f>
        <v>0.958333333333333</v>
      </c>
      <c r="F13" s="16" t="n">
        <f aca="false">Projection!F38</f>
        <v>0.65</v>
      </c>
      <c r="G13" s="16" t="n">
        <f aca="false">Projection!G38</f>
        <v>1.19583333333333</v>
      </c>
      <c r="H13" s="16" t="n">
        <f aca="false">Projection!H38</f>
        <v>1.71666666666667</v>
      </c>
      <c r="I13" s="16" t="n">
        <f aca="false">Projection!I38</f>
        <v>1.0125</v>
      </c>
      <c r="J13" s="16" t="n">
        <f aca="false">Projection!J38</f>
        <v>1.77916666666667</v>
      </c>
      <c r="K13" s="16" t="n">
        <f aca="false">Projection!K38</f>
        <v>2.51666666666667</v>
      </c>
    </row>
    <row r="14" customFormat="false" ht="15" hidden="false" customHeight="false" outlineLevel="0" collapsed="false">
      <c r="B14" s="12" t="s">
        <v>28</v>
      </c>
      <c r="C14" s="17" t="str">
        <f aca="false">Projection!C40</f>
        <v>Non</v>
      </c>
      <c r="D14" s="17" t="str">
        <f aca="false">Projection!D40</f>
        <v>Non</v>
      </c>
      <c r="E14" s="17" t="str">
        <f aca="false">Projection!E40</f>
        <v>Non</v>
      </c>
      <c r="F14" s="17" t="str">
        <f aca="false">Projection!F40</f>
        <v>Non</v>
      </c>
      <c r="G14" s="17" t="str">
        <f aca="false">Projection!G40</f>
        <v>Oui : changer de statut</v>
      </c>
      <c r="H14" s="17" t="str">
        <f aca="false">Projection!H40</f>
        <v>Oui : changer de statut</v>
      </c>
      <c r="I14" s="17" t="str">
        <f aca="false">Projection!I40</f>
        <v>Oui : changer de statut</v>
      </c>
      <c r="J14" s="17" t="str">
        <f aca="false">Projection!J40</f>
        <v>Oui : changer de statut</v>
      </c>
      <c r="K14" s="17" t="str">
        <f aca="false">Projection!K40</f>
        <v>Oui : changer de statut</v>
      </c>
    </row>
    <row r="17" customFormat="false" ht="15" hidden="false" customHeight="false" outlineLevel="0" collapsed="false">
      <c r="B17" s="18" t="s">
        <v>29</v>
      </c>
    </row>
    <row r="18" customFormat="false" ht="15" hidden="false" customHeight="false" outlineLevel="0" collapsed="false">
      <c r="B18" s="0" t="s">
        <v>30</v>
      </c>
      <c r="C18" s="19" t="s">
        <v>15</v>
      </c>
      <c r="D18" s="19" t="s">
        <v>16</v>
      </c>
      <c r="E18" s="19" t="s">
        <v>17</v>
      </c>
    </row>
    <row r="19" customFormat="false" ht="15" hidden="false" customHeight="false" outlineLevel="0" collapsed="false">
      <c r="B19" s="0" t="s">
        <v>31</v>
      </c>
      <c r="C19" s="20" t="n">
        <f aca="false">Projection!C18</f>
        <v>23074</v>
      </c>
      <c r="D19" s="20" t="n">
        <f aca="false">Projection!F18</f>
        <v>51054</v>
      </c>
      <c r="E19" s="20" t="n">
        <f aca="false">Projection!I18</f>
        <v>85490</v>
      </c>
    </row>
    <row r="20" customFormat="false" ht="15" hidden="false" customHeight="false" outlineLevel="0" collapsed="false">
      <c r="B20" s="0" t="s">
        <v>32</v>
      </c>
      <c r="C20" s="20" t="n">
        <f aca="false">Projection!D18</f>
        <v>50690</v>
      </c>
      <c r="D20" s="20" t="n">
        <f aca="false">Projection!G18</f>
        <v>100560</v>
      </c>
      <c r="E20" s="20" t="n">
        <f aca="false">Projection!J18</f>
        <v>160440</v>
      </c>
    </row>
    <row r="21" customFormat="false" ht="15" hidden="false" customHeight="false" outlineLevel="0" collapsed="false">
      <c r="B21" s="0" t="s">
        <v>33</v>
      </c>
      <c r="C21" s="20" t="n">
        <f aca="false">Projection!E18</f>
        <v>75704</v>
      </c>
      <c r="D21" s="20" t="n">
        <f aca="false">Projection!H18</f>
        <v>149592</v>
      </c>
      <c r="E21" s="20" t="n">
        <f aca="false">Projection!K18</f>
        <v>237280</v>
      </c>
    </row>
  </sheetData>
  <mergeCells count="3">
    <mergeCell ref="C5:E5"/>
    <mergeCell ref="F5:H5"/>
    <mergeCell ref="I5:K5"/>
  </mergeCells>
  <conditionalFormatting sqref="C13:K13">
    <cfRule type="cellIs" priority="2" operator="greaterThan" aboveAverage="0" equalAverage="0" bottom="0" percent="0" rank="0" text="" dxfId="0">
      <formula>1</formula>
    </cfRule>
  </conditionalFormatting>
  <conditionalFormatting sqref="C14:K14">
    <cfRule type="cellIs" priority="3" operator="equal" aboveAverage="0" equalAverage="0" bottom="0" percent="0" rank="0" text="" dxfId="0">
      <formula>"Oui : changer de statut"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12" min="3" style="0" width="12"/>
    <col collapsed="false" customWidth="true" hidden="false" outlineLevel="0" max="13" min="13" style="0" width="44"/>
  </cols>
  <sheetData>
    <row r="2" customFormat="false" ht="19.7" hidden="false" customHeight="false" outlineLevel="0" collapsed="false">
      <c r="B2" s="7" t="s">
        <v>34</v>
      </c>
    </row>
    <row r="3" customFormat="false" ht="15" hidden="false" customHeight="false" outlineLevel="0" collapsed="false">
      <c r="B3" s="8" t="s">
        <v>35</v>
      </c>
    </row>
    <row r="5" customFormat="false" ht="23.85" hidden="false" customHeight="false" outlineLevel="0" collapsed="false">
      <c r="B5" s="21" t="s">
        <v>36</v>
      </c>
      <c r="C5" s="21" t="s">
        <v>37</v>
      </c>
      <c r="D5" s="21" t="s">
        <v>26</v>
      </c>
      <c r="E5" s="21"/>
      <c r="F5" s="21"/>
      <c r="G5" s="21"/>
      <c r="H5" s="21"/>
      <c r="I5" s="21"/>
      <c r="J5" s="21"/>
      <c r="K5" s="21"/>
      <c r="L5" s="21"/>
      <c r="M5" s="21" t="s">
        <v>38</v>
      </c>
    </row>
    <row r="6" customFormat="false" ht="15" hidden="false" customHeight="false" outlineLevel="0" collapsed="false">
      <c r="B6" s="19" t="s">
        <v>39</v>
      </c>
      <c r="C6" s="22" t="n">
        <v>990</v>
      </c>
      <c r="D6" s="23" t="n">
        <v>1.5</v>
      </c>
      <c r="M6" s="24" t="s">
        <v>40</v>
      </c>
    </row>
    <row r="7" customFormat="false" ht="15" hidden="false" customHeight="false" outlineLevel="0" collapsed="false">
      <c r="B7" s="19" t="s">
        <v>41</v>
      </c>
      <c r="C7" s="22" t="n">
        <v>2900</v>
      </c>
      <c r="D7" s="23" t="n">
        <v>5</v>
      </c>
      <c r="M7" s="24" t="s">
        <v>42</v>
      </c>
    </row>
    <row r="8" customFormat="false" ht="15" hidden="false" customHeight="false" outlineLevel="0" collapsed="false">
      <c r="B8" s="19" t="s">
        <v>43</v>
      </c>
      <c r="C8" s="22" t="n">
        <v>900</v>
      </c>
      <c r="D8" s="23" t="n">
        <v>1.5</v>
      </c>
      <c r="M8" s="24" t="s">
        <v>44</v>
      </c>
    </row>
    <row r="9" customFormat="false" ht="15" hidden="false" customHeight="false" outlineLevel="0" collapsed="false">
      <c r="B9" s="19" t="s">
        <v>45</v>
      </c>
      <c r="C9" s="22" t="n">
        <v>120</v>
      </c>
      <c r="D9" s="23" t="n">
        <v>0.25</v>
      </c>
      <c r="M9" s="24" t="s">
        <v>46</v>
      </c>
    </row>
    <row r="10" customFormat="false" ht="15" hidden="false" customHeight="false" outlineLevel="0" collapsed="false">
      <c r="B10" s="19" t="s">
        <v>47</v>
      </c>
      <c r="C10" s="22" t="n">
        <v>690</v>
      </c>
      <c r="D10" s="23" t="n">
        <v>0.75</v>
      </c>
      <c r="M10" s="24" t="s">
        <v>48</v>
      </c>
    </row>
    <row r="11" customFormat="false" ht="15" hidden="false" customHeight="false" outlineLevel="0" collapsed="false">
      <c r="B11" s="19" t="s">
        <v>49</v>
      </c>
      <c r="C11" s="22" t="n">
        <v>1290</v>
      </c>
      <c r="D11" s="23" t="n">
        <v>1.75</v>
      </c>
      <c r="M11" s="24" t="s">
        <v>48</v>
      </c>
    </row>
    <row r="12" customFormat="false" ht="15" hidden="false" customHeight="false" outlineLevel="0" collapsed="false">
      <c r="B12" s="19" t="s">
        <v>50</v>
      </c>
      <c r="C12" s="22" t="n">
        <v>2290</v>
      </c>
      <c r="D12" s="23" t="n">
        <v>3.25</v>
      </c>
      <c r="M12" s="24" t="s">
        <v>48</v>
      </c>
    </row>
    <row r="13" customFormat="false" ht="15" hidden="false" customHeight="false" outlineLevel="0" collapsed="false">
      <c r="B13" s="19" t="s">
        <v>51</v>
      </c>
      <c r="C13" s="22" t="n">
        <v>49</v>
      </c>
      <c r="D13" s="23" t="n">
        <v>0</v>
      </c>
      <c r="M13" s="24" t="s">
        <v>52</v>
      </c>
    </row>
    <row r="14" customFormat="false" ht="15" hidden="false" customHeight="false" outlineLevel="0" collapsed="false">
      <c r="B14" s="19" t="s">
        <v>53</v>
      </c>
      <c r="C14" s="22" t="n">
        <v>690</v>
      </c>
      <c r="D14" s="23" t="n">
        <v>0</v>
      </c>
      <c r="M14" s="24" t="s">
        <v>54</v>
      </c>
    </row>
    <row r="15" customFormat="false" ht="15" hidden="false" customHeight="false" outlineLevel="0" collapsed="false">
      <c r="B15" s="19" t="s">
        <v>55</v>
      </c>
      <c r="C15" s="22" t="n">
        <v>2900</v>
      </c>
      <c r="D15" s="23" t="n">
        <v>0</v>
      </c>
      <c r="M15" s="24" t="s">
        <v>56</v>
      </c>
    </row>
    <row r="17" customFormat="false" ht="15" hidden="false" customHeight="false" outlineLevel="0" collapsed="false">
      <c r="B17" s="21" t="s">
        <v>57</v>
      </c>
      <c r="C17" s="21" t="s">
        <v>58</v>
      </c>
      <c r="D17" s="21"/>
      <c r="E17" s="21"/>
      <c r="F17" s="21"/>
      <c r="G17" s="21"/>
      <c r="H17" s="21"/>
      <c r="I17" s="21"/>
      <c r="J17" s="21"/>
      <c r="K17" s="21"/>
      <c r="L17" s="21"/>
      <c r="M17" s="21" t="s">
        <v>38</v>
      </c>
    </row>
    <row r="18" customFormat="false" ht="15" hidden="false" customHeight="false" outlineLevel="0" collapsed="false">
      <c r="B18" s="19" t="s">
        <v>59</v>
      </c>
      <c r="C18" s="23" t="n">
        <v>0.75</v>
      </c>
      <c r="M18" s="24"/>
    </row>
    <row r="19" customFormat="false" ht="15" hidden="false" customHeight="false" outlineLevel="0" collapsed="false">
      <c r="B19" s="19" t="s">
        <v>60</v>
      </c>
      <c r="C19" s="23" t="n">
        <v>6</v>
      </c>
      <c r="M19" s="24" t="s">
        <v>61</v>
      </c>
    </row>
    <row r="20" customFormat="false" ht="15" hidden="false" customHeight="false" outlineLevel="0" collapsed="false">
      <c r="B20" s="19" t="s">
        <v>62</v>
      </c>
      <c r="C20" s="23" t="n">
        <v>2</v>
      </c>
      <c r="M20" s="24" t="s">
        <v>63</v>
      </c>
    </row>
    <row r="21" customFormat="false" ht="15" hidden="false" customHeight="false" outlineLevel="0" collapsed="false">
      <c r="B21" s="19" t="s">
        <v>64</v>
      </c>
      <c r="C21" s="25" t="n">
        <v>0.15</v>
      </c>
      <c r="M21" s="24" t="s">
        <v>65</v>
      </c>
    </row>
    <row r="22" customFormat="false" ht="15" hidden="false" customHeight="false" outlineLevel="0" collapsed="false">
      <c r="B22" s="19" t="s">
        <v>66</v>
      </c>
      <c r="C22" s="26" t="n">
        <v>120</v>
      </c>
      <c r="M22" s="24" t="s">
        <v>67</v>
      </c>
    </row>
    <row r="23" customFormat="false" ht="15" hidden="false" customHeight="false" outlineLevel="0" collapsed="false">
      <c r="B23" s="19" t="s">
        <v>68</v>
      </c>
      <c r="C23" s="25" t="n">
        <v>0.25</v>
      </c>
      <c r="M23" s="24" t="s">
        <v>69</v>
      </c>
    </row>
    <row r="24" customFormat="false" ht="15" hidden="false" customHeight="false" outlineLevel="0" collapsed="false">
      <c r="B24" s="19" t="s">
        <v>70</v>
      </c>
      <c r="C24" s="22" t="n">
        <v>60</v>
      </c>
      <c r="M24" s="24" t="s">
        <v>71</v>
      </c>
    </row>
    <row r="25" customFormat="false" ht="15" hidden="false" customHeight="false" outlineLevel="0" collapsed="false">
      <c r="B25" s="19" t="s">
        <v>72</v>
      </c>
      <c r="C25" s="22" t="n">
        <v>1200</v>
      </c>
      <c r="M25" s="24"/>
    </row>
    <row r="26" customFormat="false" ht="15" hidden="false" customHeight="false" outlineLevel="0" collapsed="false">
      <c r="B26" s="19" t="s">
        <v>73</v>
      </c>
      <c r="C26" s="25" t="n">
        <v>0.03</v>
      </c>
      <c r="M26" s="24" t="s">
        <v>74</v>
      </c>
    </row>
    <row r="27" customFormat="false" ht="15" hidden="false" customHeight="false" outlineLevel="0" collapsed="false">
      <c r="B27" s="19" t="s">
        <v>75</v>
      </c>
      <c r="C27" s="22" t="n">
        <v>40</v>
      </c>
      <c r="M27" s="24" t="s">
        <v>76</v>
      </c>
    </row>
    <row r="28" customFormat="false" ht="15" hidden="false" customHeight="false" outlineLevel="0" collapsed="false">
      <c r="B28" s="19" t="s">
        <v>77</v>
      </c>
      <c r="C28" s="22" t="n">
        <v>1200</v>
      </c>
      <c r="M28" s="24" t="s">
        <v>78</v>
      </c>
    </row>
    <row r="29" customFormat="false" ht="15" hidden="false" customHeight="false" outlineLevel="0" collapsed="false">
      <c r="B29" s="19" t="s">
        <v>79</v>
      </c>
      <c r="C29" s="22" t="n">
        <v>600</v>
      </c>
      <c r="M29" s="24" t="s">
        <v>80</v>
      </c>
    </row>
    <row r="30" customFormat="false" ht="15" hidden="false" customHeight="false" outlineLevel="0" collapsed="false">
      <c r="B30" s="19" t="s">
        <v>81</v>
      </c>
      <c r="C30" s="22" t="n">
        <v>83600</v>
      </c>
      <c r="M30" s="24" t="s">
        <v>82</v>
      </c>
    </row>
    <row r="33" customFormat="false" ht="16.15" hidden="false" customHeight="false" outlineLevel="0" collapsed="false">
      <c r="B33" s="27" t="s">
        <v>83</v>
      </c>
    </row>
    <row r="34" customFormat="false" ht="15" hidden="false" customHeight="false" outlineLevel="0" collapsed="false">
      <c r="C34" s="9" t="s">
        <v>15</v>
      </c>
      <c r="D34" s="9"/>
      <c r="E34" s="9"/>
      <c r="F34" s="10" t="s">
        <v>16</v>
      </c>
      <c r="G34" s="10"/>
      <c r="H34" s="10"/>
      <c r="I34" s="9" t="s">
        <v>17</v>
      </c>
      <c r="J34" s="9"/>
      <c r="K34" s="9"/>
    </row>
    <row r="35" customFormat="false" ht="15" hidden="false" customHeight="false" outlineLevel="0" collapsed="false">
      <c r="C35" s="11" t="s">
        <v>31</v>
      </c>
      <c r="D35" s="11" t="s">
        <v>32</v>
      </c>
      <c r="E35" s="11" t="s">
        <v>33</v>
      </c>
      <c r="F35" s="11" t="s">
        <v>31</v>
      </c>
      <c r="G35" s="11" t="s">
        <v>32</v>
      </c>
      <c r="H35" s="11" t="s">
        <v>33</v>
      </c>
      <c r="I35" s="11" t="s">
        <v>31</v>
      </c>
      <c r="J35" s="11" t="s">
        <v>32</v>
      </c>
      <c r="K35" s="11" t="s">
        <v>33</v>
      </c>
    </row>
    <row r="36" customFormat="false" ht="15" hidden="false" customHeight="false" outlineLevel="0" collapsed="false">
      <c r="B36" s="19" t="s">
        <v>84</v>
      </c>
      <c r="C36" s="28" t="n">
        <v>4</v>
      </c>
      <c r="D36" s="28" t="n">
        <v>6</v>
      </c>
      <c r="E36" s="28" t="n">
        <v>8</v>
      </c>
      <c r="F36" s="28" t="n">
        <v>6</v>
      </c>
      <c r="G36" s="28" t="n">
        <v>10</v>
      </c>
      <c r="H36" s="28" t="n">
        <v>12</v>
      </c>
      <c r="I36" s="28" t="n">
        <v>8</v>
      </c>
      <c r="J36" s="28" t="n">
        <v>12</v>
      </c>
      <c r="K36" s="28" t="n">
        <v>15</v>
      </c>
    </row>
    <row r="37" customFormat="false" ht="15" hidden="false" customHeight="false" outlineLevel="0" collapsed="false">
      <c r="B37" s="19" t="s">
        <v>85</v>
      </c>
      <c r="C37" s="28" t="n">
        <v>2</v>
      </c>
      <c r="D37" s="28" t="n">
        <v>4</v>
      </c>
      <c r="E37" s="28" t="n">
        <v>6</v>
      </c>
      <c r="F37" s="28" t="n">
        <v>4</v>
      </c>
      <c r="G37" s="28" t="n">
        <v>7</v>
      </c>
      <c r="H37" s="28" t="n">
        <v>10</v>
      </c>
      <c r="I37" s="28" t="n">
        <v>6</v>
      </c>
      <c r="J37" s="28" t="n">
        <v>10</v>
      </c>
      <c r="K37" s="28" t="n">
        <v>14</v>
      </c>
    </row>
    <row r="38" customFormat="false" ht="15" hidden="false" customHeight="false" outlineLevel="0" collapsed="false">
      <c r="B38" s="19" t="s">
        <v>86</v>
      </c>
      <c r="C38" s="28" t="n">
        <v>3</v>
      </c>
      <c r="D38" s="28" t="n">
        <v>5</v>
      </c>
      <c r="E38" s="28" t="n">
        <v>6</v>
      </c>
      <c r="F38" s="28" t="n">
        <v>5</v>
      </c>
      <c r="G38" s="28" t="n">
        <v>8</v>
      </c>
      <c r="H38" s="28" t="n">
        <v>10</v>
      </c>
      <c r="I38" s="28" t="n">
        <v>8</v>
      </c>
      <c r="J38" s="28" t="n">
        <v>12</v>
      </c>
      <c r="K38" s="28" t="n">
        <v>15</v>
      </c>
    </row>
    <row r="39" customFormat="false" ht="15" hidden="false" customHeight="false" outlineLevel="0" collapsed="false">
      <c r="B39" s="19" t="s">
        <v>87</v>
      </c>
      <c r="C39" s="28" t="n">
        <v>12</v>
      </c>
      <c r="D39" s="28" t="n">
        <v>36</v>
      </c>
      <c r="E39" s="28" t="n">
        <v>60</v>
      </c>
      <c r="F39" s="28" t="n">
        <v>24</v>
      </c>
      <c r="G39" s="28" t="n">
        <v>72</v>
      </c>
      <c r="H39" s="28" t="n">
        <v>120</v>
      </c>
      <c r="I39" s="28" t="n">
        <v>48</v>
      </c>
      <c r="J39" s="28" t="n">
        <v>120</v>
      </c>
      <c r="K39" s="28" t="n">
        <v>200</v>
      </c>
    </row>
    <row r="40" customFormat="false" ht="15" hidden="false" customHeight="false" outlineLevel="0" collapsed="false">
      <c r="B40" s="19" t="s">
        <v>88</v>
      </c>
      <c r="C40" s="28" t="n">
        <v>2</v>
      </c>
      <c r="D40" s="28" t="n">
        <v>3</v>
      </c>
      <c r="E40" s="28" t="n">
        <v>4</v>
      </c>
      <c r="F40" s="28" t="n">
        <v>3</v>
      </c>
      <c r="G40" s="28" t="n">
        <v>5</v>
      </c>
      <c r="H40" s="28" t="n">
        <v>6</v>
      </c>
      <c r="I40" s="28" t="n">
        <v>4</v>
      </c>
      <c r="J40" s="28" t="n">
        <v>6</v>
      </c>
      <c r="K40" s="28" t="n">
        <v>8</v>
      </c>
    </row>
    <row r="41" customFormat="false" ht="15" hidden="false" customHeight="false" outlineLevel="0" collapsed="false">
      <c r="B41" s="19" t="s">
        <v>89</v>
      </c>
      <c r="C41" s="28" t="n">
        <v>2</v>
      </c>
      <c r="D41" s="28" t="n">
        <v>4</v>
      </c>
      <c r="E41" s="28" t="n">
        <v>6</v>
      </c>
      <c r="F41" s="28" t="n">
        <v>4</v>
      </c>
      <c r="G41" s="28" t="n">
        <v>7</v>
      </c>
      <c r="H41" s="28" t="n">
        <v>10</v>
      </c>
      <c r="I41" s="28" t="n">
        <v>6</v>
      </c>
      <c r="J41" s="28" t="n">
        <v>10</v>
      </c>
      <c r="K41" s="28" t="n">
        <v>14</v>
      </c>
    </row>
    <row r="42" customFormat="false" ht="15" hidden="false" customHeight="false" outlineLevel="0" collapsed="false">
      <c r="B42" s="19" t="s">
        <v>90</v>
      </c>
      <c r="C42" s="28" t="n">
        <v>0</v>
      </c>
      <c r="D42" s="28" t="n">
        <v>1</v>
      </c>
      <c r="E42" s="28" t="n">
        <v>2</v>
      </c>
      <c r="F42" s="28" t="n">
        <v>1</v>
      </c>
      <c r="G42" s="28" t="n">
        <v>2</v>
      </c>
      <c r="H42" s="28" t="n">
        <v>4</v>
      </c>
      <c r="I42" s="28" t="n">
        <v>2</v>
      </c>
      <c r="J42" s="28" t="n">
        <v>4</v>
      </c>
      <c r="K42" s="28" t="n">
        <v>6</v>
      </c>
    </row>
    <row r="43" customFormat="false" ht="15" hidden="false" customHeight="false" outlineLevel="0" collapsed="false">
      <c r="B43" s="19" t="s">
        <v>91</v>
      </c>
      <c r="C43" s="28" t="n">
        <v>6</v>
      </c>
      <c r="D43" s="28" t="n">
        <v>10</v>
      </c>
      <c r="E43" s="28" t="n">
        <v>12</v>
      </c>
      <c r="F43" s="28" t="n">
        <v>12</v>
      </c>
      <c r="G43" s="28" t="n">
        <v>20</v>
      </c>
      <c r="H43" s="28" t="n">
        <v>24</v>
      </c>
      <c r="I43" s="28" t="n">
        <v>18</v>
      </c>
      <c r="J43" s="28" t="n">
        <v>30</v>
      </c>
      <c r="K43" s="28" t="n">
        <v>36</v>
      </c>
    </row>
    <row r="44" customFormat="false" ht="15" hidden="false" customHeight="false" outlineLevel="0" collapsed="false">
      <c r="B44" s="19" t="s">
        <v>92</v>
      </c>
      <c r="C44" s="28" t="n">
        <v>6</v>
      </c>
      <c r="D44" s="28" t="n">
        <v>8</v>
      </c>
      <c r="E44" s="28" t="n">
        <v>8</v>
      </c>
      <c r="F44" s="28" t="n">
        <v>8</v>
      </c>
      <c r="G44" s="28" t="n">
        <v>10</v>
      </c>
      <c r="H44" s="28" t="n">
        <v>12</v>
      </c>
      <c r="I44" s="28" t="n">
        <v>10</v>
      </c>
      <c r="J44" s="28" t="n">
        <v>12</v>
      </c>
      <c r="K44" s="28" t="n">
        <v>15</v>
      </c>
    </row>
    <row r="45" customFormat="false" ht="15" hidden="false" customHeight="false" outlineLevel="0" collapsed="false">
      <c r="B45" s="19" t="s">
        <v>93</v>
      </c>
      <c r="C45" s="28" t="n">
        <v>1</v>
      </c>
      <c r="D45" s="28" t="n">
        <v>2</v>
      </c>
      <c r="E45" s="28" t="n">
        <v>2</v>
      </c>
      <c r="F45" s="28" t="n">
        <v>2</v>
      </c>
      <c r="G45" s="28" t="n">
        <v>3</v>
      </c>
      <c r="H45" s="28" t="n">
        <v>4</v>
      </c>
      <c r="I45" s="28" t="n">
        <v>3</v>
      </c>
      <c r="J45" s="28" t="n">
        <v>4</v>
      </c>
      <c r="K45" s="28" t="n">
        <v>5</v>
      </c>
    </row>
    <row r="46" customFormat="false" ht="15" hidden="false" customHeight="false" outlineLevel="0" collapsed="false">
      <c r="B46" s="19" t="s">
        <v>94</v>
      </c>
      <c r="C46" s="28" t="n">
        <v>5</v>
      </c>
      <c r="D46" s="28" t="n">
        <v>6</v>
      </c>
      <c r="E46" s="28" t="n">
        <v>8</v>
      </c>
      <c r="F46" s="28" t="n">
        <v>8</v>
      </c>
      <c r="G46" s="28" t="n">
        <v>10</v>
      </c>
      <c r="H46" s="28" t="n">
        <v>10</v>
      </c>
      <c r="I46" s="28" t="n">
        <v>10</v>
      </c>
      <c r="J46" s="28" t="n">
        <v>12</v>
      </c>
      <c r="K46" s="28" t="n">
        <v>12</v>
      </c>
    </row>
    <row r="47" customFormat="false" ht="15" hidden="false" customHeight="false" outlineLevel="0" collapsed="false">
      <c r="B47" s="19" t="s">
        <v>95</v>
      </c>
      <c r="C47" s="28" t="n">
        <v>0</v>
      </c>
      <c r="D47" s="28" t="n">
        <v>2</v>
      </c>
      <c r="E47" s="28" t="n">
        <v>4</v>
      </c>
      <c r="F47" s="28" t="n">
        <v>1</v>
      </c>
      <c r="G47" s="28" t="n">
        <v>4</v>
      </c>
      <c r="H47" s="28" t="n">
        <v>8</v>
      </c>
      <c r="I47" s="28" t="n">
        <v>2</v>
      </c>
      <c r="J47" s="28" t="n">
        <v>8</v>
      </c>
      <c r="K47" s="28" t="n">
        <v>15</v>
      </c>
    </row>
    <row r="48" customFormat="false" ht="15" hidden="false" customHeight="false" outlineLevel="0" collapsed="false">
      <c r="B48" s="19" t="s">
        <v>96</v>
      </c>
      <c r="C48" s="28" t="n">
        <v>0</v>
      </c>
      <c r="D48" s="28" t="n">
        <v>3</v>
      </c>
      <c r="E48" s="28" t="n">
        <v>4</v>
      </c>
      <c r="F48" s="28" t="n">
        <v>2</v>
      </c>
      <c r="G48" s="28" t="n">
        <v>4</v>
      </c>
      <c r="H48" s="28" t="n">
        <v>5</v>
      </c>
      <c r="I48" s="28" t="n">
        <v>3</v>
      </c>
      <c r="J48" s="28" t="n">
        <v>5</v>
      </c>
      <c r="K48" s="28" t="n">
        <v>6</v>
      </c>
    </row>
    <row r="49" customFormat="false" ht="15" hidden="false" customHeight="false" outlineLevel="0" collapsed="false">
      <c r="B49" s="19" t="s">
        <v>97</v>
      </c>
      <c r="C49" s="28" t="n">
        <v>0</v>
      </c>
      <c r="D49" s="28" t="n">
        <v>0</v>
      </c>
      <c r="E49" s="28" t="n">
        <v>1</v>
      </c>
      <c r="F49" s="28" t="n">
        <v>0</v>
      </c>
      <c r="G49" s="28" t="n">
        <v>1</v>
      </c>
      <c r="H49" s="28" t="n">
        <v>2</v>
      </c>
      <c r="I49" s="28" t="n">
        <v>0</v>
      </c>
      <c r="J49" s="28" t="n">
        <v>1</v>
      </c>
      <c r="K49" s="28" t="n">
        <v>2</v>
      </c>
    </row>
    <row r="51" customFormat="false" ht="15" hidden="false" customHeight="false" outlineLevel="0" collapsed="false">
      <c r="B51" s="24" t="s">
        <v>98</v>
      </c>
    </row>
  </sheetData>
  <mergeCells count="3">
    <mergeCell ref="C34:E34"/>
    <mergeCell ref="F34:H34"/>
    <mergeCell ref="I34:K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11" min="3" style="0" width="13"/>
  </cols>
  <sheetData>
    <row r="2" customFormat="false" ht="19.7" hidden="false" customHeight="false" outlineLevel="0" collapsed="false">
      <c r="B2" s="7" t="s">
        <v>99</v>
      </c>
    </row>
    <row r="3" customFormat="false" ht="15" hidden="false" customHeight="false" outlineLevel="0" collapsed="false">
      <c r="B3" s="8" t="s">
        <v>100</v>
      </c>
    </row>
    <row r="5" customFormat="false" ht="15" hidden="false" customHeight="false" outlineLevel="0" collapsed="false">
      <c r="C5" s="9" t="s">
        <v>15</v>
      </c>
      <c r="D5" s="9"/>
      <c r="E5" s="9"/>
      <c r="F5" s="10" t="s">
        <v>16</v>
      </c>
      <c r="G5" s="10"/>
      <c r="H5" s="10"/>
      <c r="I5" s="9" t="s">
        <v>17</v>
      </c>
      <c r="J5" s="9"/>
      <c r="K5" s="9"/>
    </row>
    <row r="6" customFormat="false" ht="15" hidden="false" customHeight="false" outlineLevel="0" collapsed="false">
      <c r="C6" s="11" t="s">
        <v>31</v>
      </c>
      <c r="D6" s="11" t="s">
        <v>32</v>
      </c>
      <c r="E6" s="11" t="s">
        <v>33</v>
      </c>
      <c r="F6" s="11" t="s">
        <v>31</v>
      </c>
      <c r="G6" s="11" t="s">
        <v>32</v>
      </c>
      <c r="H6" s="11" t="s">
        <v>33</v>
      </c>
      <c r="I6" s="11" t="s">
        <v>31</v>
      </c>
      <c r="J6" s="11" t="s">
        <v>32</v>
      </c>
      <c r="K6" s="11" t="s">
        <v>33</v>
      </c>
    </row>
    <row r="9" customFormat="false" ht="15" hidden="false" customHeight="false" outlineLevel="0" collapsed="false">
      <c r="B9" s="18" t="s">
        <v>21</v>
      </c>
    </row>
    <row r="10" customFormat="false" ht="15" hidden="false" customHeight="false" outlineLevel="0" collapsed="false">
      <c r="B10" s="29" t="s">
        <v>101</v>
      </c>
      <c r="C10" s="13" t="n">
        <f aca="false">Hypothèses!C36*Hypothèses!$C$6</f>
        <v>3960</v>
      </c>
      <c r="D10" s="13" t="n">
        <f aca="false">Hypothèses!D36*Hypothèses!$C$6</f>
        <v>5940</v>
      </c>
      <c r="E10" s="13" t="n">
        <f aca="false">Hypothèses!E36*Hypothèses!$C$6</f>
        <v>7920</v>
      </c>
      <c r="F10" s="13" t="n">
        <f aca="false">Hypothèses!F36*Hypothèses!$C$6</f>
        <v>5940</v>
      </c>
      <c r="G10" s="13" t="n">
        <f aca="false">Hypothèses!G36*Hypothèses!$C$6</f>
        <v>9900</v>
      </c>
      <c r="H10" s="13" t="n">
        <f aca="false">Hypothèses!H36*Hypothèses!$C$6</f>
        <v>11880</v>
      </c>
      <c r="I10" s="13" t="n">
        <f aca="false">Hypothèses!I36*Hypothèses!$C$6</f>
        <v>7920</v>
      </c>
      <c r="J10" s="13" t="n">
        <f aca="false">Hypothèses!J36*Hypothèses!$C$6</f>
        <v>11880</v>
      </c>
      <c r="K10" s="13" t="n">
        <f aca="false">Hypothèses!K36*Hypothèses!$C$6</f>
        <v>14850</v>
      </c>
    </row>
    <row r="11" customFormat="false" ht="15" hidden="false" customHeight="false" outlineLevel="0" collapsed="false">
      <c r="B11" s="29" t="s">
        <v>85</v>
      </c>
      <c r="C11" s="13" t="n">
        <f aca="false">Hypothèses!C37*Hypothèses!$C$7</f>
        <v>5800</v>
      </c>
      <c r="D11" s="13" t="n">
        <f aca="false">Hypothèses!D37*Hypothèses!$C$7</f>
        <v>11600</v>
      </c>
      <c r="E11" s="13" t="n">
        <f aca="false">Hypothèses!E37*Hypothèses!$C$7</f>
        <v>17400</v>
      </c>
      <c r="F11" s="13" t="n">
        <f aca="false">Hypothèses!F37*Hypothèses!$C$7</f>
        <v>11600</v>
      </c>
      <c r="G11" s="13" t="n">
        <f aca="false">Hypothèses!G37*Hypothèses!$C$7</f>
        <v>20300</v>
      </c>
      <c r="H11" s="13" t="n">
        <f aca="false">Hypothèses!H37*Hypothèses!$C$7</f>
        <v>29000</v>
      </c>
      <c r="I11" s="13" t="n">
        <f aca="false">Hypothèses!I37*Hypothèses!$C$7</f>
        <v>17400</v>
      </c>
      <c r="J11" s="13" t="n">
        <f aca="false">Hypothèses!J37*Hypothèses!$C$7</f>
        <v>29000</v>
      </c>
      <c r="K11" s="13" t="n">
        <f aca="false">Hypothèses!K37*Hypothèses!$C$7</f>
        <v>40600</v>
      </c>
    </row>
    <row r="12" customFormat="false" ht="15" hidden="false" customHeight="false" outlineLevel="0" collapsed="false">
      <c r="B12" s="29" t="s">
        <v>86</v>
      </c>
      <c r="C12" s="13" t="n">
        <f aca="false">Hypothèses!C38*Hypothèses!$C$8</f>
        <v>2700</v>
      </c>
      <c r="D12" s="13" t="n">
        <f aca="false">Hypothèses!D38*Hypothèses!$C$8</f>
        <v>4500</v>
      </c>
      <c r="E12" s="13" t="n">
        <f aca="false">Hypothèses!E38*Hypothèses!$C$8</f>
        <v>5400</v>
      </c>
      <c r="F12" s="13" t="n">
        <f aca="false">Hypothèses!F38*Hypothèses!$C$8</f>
        <v>4500</v>
      </c>
      <c r="G12" s="13" t="n">
        <f aca="false">Hypothèses!G38*Hypothèses!$C$8</f>
        <v>7200</v>
      </c>
      <c r="H12" s="13" t="n">
        <f aca="false">Hypothèses!H38*Hypothèses!$C$8</f>
        <v>9000</v>
      </c>
      <c r="I12" s="13" t="n">
        <f aca="false">Hypothèses!I38*Hypothèses!$C$8</f>
        <v>7200</v>
      </c>
      <c r="J12" s="13" t="n">
        <f aca="false">Hypothèses!J38*Hypothèses!$C$8</f>
        <v>10800</v>
      </c>
      <c r="K12" s="13" t="n">
        <f aca="false">Hypothèses!K38*Hypothèses!$C$8</f>
        <v>13500</v>
      </c>
    </row>
    <row r="13" customFormat="false" ht="15" hidden="false" customHeight="false" outlineLevel="0" collapsed="false">
      <c r="B13" s="29" t="s">
        <v>102</v>
      </c>
      <c r="C13" s="13" t="n">
        <f aca="false">Hypothèses!C39*Hypothèses!$C$9</f>
        <v>1440</v>
      </c>
      <c r="D13" s="13" t="n">
        <f aca="false">Hypothèses!D39*Hypothèses!$C$9</f>
        <v>4320</v>
      </c>
      <c r="E13" s="13" t="n">
        <f aca="false">Hypothèses!E39*Hypothèses!$C$9</f>
        <v>7200</v>
      </c>
      <c r="F13" s="13" t="n">
        <f aca="false">Hypothèses!F39*Hypothèses!$C$9</f>
        <v>2880</v>
      </c>
      <c r="G13" s="13" t="n">
        <f aca="false">Hypothèses!G39*Hypothèses!$C$9</f>
        <v>8640</v>
      </c>
      <c r="H13" s="13" t="n">
        <f aca="false">Hypothèses!H39*Hypothèses!$C$9</f>
        <v>14400</v>
      </c>
      <c r="I13" s="13" t="n">
        <f aca="false">Hypothèses!I39*Hypothèses!$C$9</f>
        <v>5760</v>
      </c>
      <c r="J13" s="13" t="n">
        <f aca="false">Hypothèses!J39*Hypothèses!$C$9</f>
        <v>14400</v>
      </c>
      <c r="K13" s="13" t="n">
        <f aca="false">Hypothèses!K39*Hypothèses!$C$9</f>
        <v>24000</v>
      </c>
    </row>
    <row r="14" customFormat="false" ht="15" hidden="false" customHeight="false" outlineLevel="0" collapsed="false">
      <c r="B14" s="29" t="s">
        <v>103</v>
      </c>
      <c r="C14" s="13" t="n">
        <f aca="false">Hypothèses!C40*Hypothèses!$C$10+Hypothèses!C41*Hypothèses!$C$11+Hypothèses!C42*Hypothèses!$C$12</f>
        <v>3960</v>
      </c>
      <c r="D14" s="13" t="n">
        <f aca="false">Hypothèses!D40*Hypothèses!$C$10+Hypothèses!D41*Hypothèses!$C$11+Hypothèses!D42*Hypothèses!$C$12</f>
        <v>9520</v>
      </c>
      <c r="E14" s="13" t="n">
        <f aca="false">Hypothèses!E40*Hypothèses!$C$10+Hypothèses!E41*Hypothèses!$C$11+Hypothèses!E42*Hypothèses!$C$12</f>
        <v>15080</v>
      </c>
      <c r="F14" s="13" t="n">
        <f aca="false">Hypothèses!F40*Hypothèses!$C$10+Hypothèses!F41*Hypothèses!$C$11+Hypothèses!F42*Hypothèses!$C$12</f>
        <v>9520</v>
      </c>
      <c r="G14" s="13" t="n">
        <f aca="false">Hypothèses!G40*Hypothèses!$C$10+Hypothèses!G41*Hypothèses!$C$11+Hypothèses!G42*Hypothèses!$C$12</f>
        <v>17060</v>
      </c>
      <c r="H14" s="13" t="n">
        <f aca="false">Hypothèses!H40*Hypothèses!$C$10+Hypothèses!H41*Hypothèses!$C$11+Hypothèses!H42*Hypothèses!$C$12</f>
        <v>26200</v>
      </c>
      <c r="I14" s="13" t="n">
        <f aca="false">Hypothèses!I40*Hypothèses!$C$10+Hypothèses!I41*Hypothèses!$C$11+Hypothèses!I42*Hypothèses!$C$12</f>
        <v>15080</v>
      </c>
      <c r="J14" s="13" t="n">
        <f aca="false">Hypothèses!J40*Hypothèses!$C$10+Hypothèses!J41*Hypothèses!$C$11+Hypothèses!J42*Hypothèses!$C$12</f>
        <v>26200</v>
      </c>
      <c r="K14" s="13" t="n">
        <f aca="false">Hypothèses!K40*Hypothèses!$C$10+Hypothèses!K41*Hypothèses!$C$11+Hypothèses!K42*Hypothèses!$C$12</f>
        <v>37320</v>
      </c>
    </row>
    <row r="15" customFormat="false" ht="15" hidden="false" customHeight="false" outlineLevel="0" collapsed="false">
      <c r="B15" s="29" t="s">
        <v>104</v>
      </c>
      <c r="C15" s="13" t="n">
        <f aca="false">Hypothèses!C43*Hypothèses!C44*Hypothèses!$C$13</f>
        <v>1764</v>
      </c>
      <c r="D15" s="13" t="n">
        <f aca="false">Hypothèses!D43*Hypothèses!D44*Hypothèses!$C$13</f>
        <v>3920</v>
      </c>
      <c r="E15" s="13" t="n">
        <f aca="false">Hypothèses!E43*Hypothèses!E44*Hypothèses!$C$13</f>
        <v>4704</v>
      </c>
      <c r="F15" s="13" t="n">
        <f aca="false">Hypothèses!F43*Hypothèses!F44*Hypothèses!$C$13</f>
        <v>4704</v>
      </c>
      <c r="G15" s="13" t="n">
        <f aca="false">Hypothèses!G43*Hypothèses!G44*Hypothèses!$C$13</f>
        <v>9800</v>
      </c>
      <c r="H15" s="13" t="n">
        <f aca="false">Hypothèses!H43*Hypothèses!H44*Hypothèses!$C$13</f>
        <v>14112</v>
      </c>
      <c r="I15" s="13" t="n">
        <f aca="false">Hypothèses!I43*Hypothèses!I44*Hypothèses!$C$13</f>
        <v>8820</v>
      </c>
      <c r="J15" s="13" t="n">
        <f aca="false">Hypothèses!J43*Hypothèses!J44*Hypothèses!$C$13</f>
        <v>17640</v>
      </c>
      <c r="K15" s="13" t="n">
        <f aca="false">Hypothèses!K43*Hypothèses!K44*Hypothèses!$C$13</f>
        <v>26460</v>
      </c>
    </row>
    <row r="16" customFormat="false" ht="15" hidden="false" customHeight="false" outlineLevel="0" collapsed="false">
      <c r="B16" s="29" t="s">
        <v>105</v>
      </c>
      <c r="C16" s="13" t="n">
        <f aca="false">Hypothèses!C45*Hypothèses!C46*Hypothèses!$C$14</f>
        <v>3450</v>
      </c>
      <c r="D16" s="13" t="n">
        <f aca="false">Hypothèses!D45*Hypothèses!D46*Hypothèses!$C$14</f>
        <v>8280</v>
      </c>
      <c r="E16" s="13" t="n">
        <f aca="false">Hypothèses!E45*Hypothèses!E46*Hypothèses!$C$14</f>
        <v>11040</v>
      </c>
      <c r="F16" s="13" t="n">
        <f aca="false">Hypothèses!F45*Hypothèses!F46*Hypothèses!$C$14</f>
        <v>11040</v>
      </c>
      <c r="G16" s="13" t="n">
        <f aca="false">Hypothèses!G45*Hypothèses!G46*Hypothèses!$C$14</f>
        <v>20700</v>
      </c>
      <c r="H16" s="13" t="n">
        <f aca="false">Hypothèses!H45*Hypothèses!H46*Hypothèses!$C$14</f>
        <v>27600</v>
      </c>
      <c r="I16" s="13" t="n">
        <f aca="false">Hypothèses!I45*Hypothèses!I46*Hypothèses!$C$14</f>
        <v>20700</v>
      </c>
      <c r="J16" s="13" t="n">
        <f aca="false">Hypothèses!J45*Hypothèses!J46*Hypothèses!$C$14</f>
        <v>33120</v>
      </c>
      <c r="K16" s="13" t="n">
        <f aca="false">Hypothèses!K45*Hypothèses!K46*Hypothèses!$C$14</f>
        <v>41400</v>
      </c>
    </row>
    <row r="17" customFormat="false" ht="15" hidden="false" customHeight="false" outlineLevel="0" collapsed="false">
      <c r="B17" s="29" t="s">
        <v>106</v>
      </c>
      <c r="C17" s="13" t="n">
        <f aca="false">Hypothèses!C47*Hypothèses!C48*Hypothèses!$C$15*Hypothèses!$C$21</f>
        <v>0</v>
      </c>
      <c r="D17" s="13" t="n">
        <f aca="false">Hypothèses!D47*Hypothèses!D48*Hypothèses!$C$15*Hypothèses!$C$21</f>
        <v>2610</v>
      </c>
      <c r="E17" s="13" t="n">
        <f aca="false">Hypothèses!E47*Hypothèses!E48*Hypothèses!$C$15*Hypothèses!$C$21</f>
        <v>6960</v>
      </c>
      <c r="F17" s="13" t="n">
        <f aca="false">Hypothèses!F47*Hypothèses!F48*Hypothèses!$C$15*Hypothèses!$C$21</f>
        <v>870</v>
      </c>
      <c r="G17" s="13" t="n">
        <f aca="false">Hypothèses!G47*Hypothèses!G48*Hypothèses!$C$15*Hypothèses!$C$21</f>
        <v>6960</v>
      </c>
      <c r="H17" s="13" t="n">
        <f aca="false">Hypothèses!H47*Hypothèses!H48*Hypothèses!$C$15*Hypothèses!$C$21</f>
        <v>17400</v>
      </c>
      <c r="I17" s="13" t="n">
        <f aca="false">Hypothèses!I47*Hypothèses!I48*Hypothèses!$C$15*Hypothèses!$C$21</f>
        <v>2610</v>
      </c>
      <c r="J17" s="13" t="n">
        <f aca="false">Hypothèses!J47*Hypothèses!J48*Hypothèses!$C$15*Hypothèses!$C$21</f>
        <v>17400</v>
      </c>
      <c r="K17" s="13" t="n">
        <f aca="false">Hypothèses!K47*Hypothèses!K48*Hypothèses!$C$15*Hypothèses!$C$21</f>
        <v>39150</v>
      </c>
    </row>
    <row r="18" customFormat="false" ht="15" hidden="false" customHeight="false" outlineLevel="0" collapsed="false">
      <c r="B18" s="30" t="s">
        <v>107</v>
      </c>
      <c r="C18" s="14" t="n">
        <f aca="false">SUM(C10:C17)</f>
        <v>23074</v>
      </c>
      <c r="D18" s="14" t="n">
        <f aca="false">SUM(D10:D17)</f>
        <v>50690</v>
      </c>
      <c r="E18" s="14" t="n">
        <f aca="false">SUM(E10:E17)</f>
        <v>75704</v>
      </c>
      <c r="F18" s="14" t="n">
        <f aca="false">SUM(F10:F17)</f>
        <v>51054</v>
      </c>
      <c r="G18" s="14" t="n">
        <f aca="false">SUM(G10:G17)</f>
        <v>100560</v>
      </c>
      <c r="H18" s="14" t="n">
        <f aca="false">SUM(H10:H17)</f>
        <v>149592</v>
      </c>
      <c r="I18" s="14" t="n">
        <f aca="false">SUM(I10:I17)</f>
        <v>85490</v>
      </c>
      <c r="J18" s="14" t="n">
        <f aca="false">SUM(J10:J17)</f>
        <v>160440</v>
      </c>
      <c r="K18" s="14" t="n">
        <f aca="false">SUM(K10:K17)</f>
        <v>237280</v>
      </c>
    </row>
    <row r="19" customFormat="false" ht="15" hidden="false" customHeight="false" outlineLevel="0" collapsed="false">
      <c r="B19" s="29" t="s">
        <v>108</v>
      </c>
      <c r="C19" s="13" t="n">
        <f aca="false">Hypothèses!C47*Hypothèses!C48*Hypothèses!$C$15</f>
        <v>0</v>
      </c>
      <c r="D19" s="13" t="n">
        <f aca="false">Hypothèses!D47*Hypothèses!D48*Hypothèses!$C$15</f>
        <v>17400</v>
      </c>
      <c r="E19" s="13" t="n">
        <f aca="false">Hypothèses!E47*Hypothèses!E48*Hypothèses!$C$15</f>
        <v>46400</v>
      </c>
      <c r="F19" s="13" t="n">
        <f aca="false">Hypothèses!F47*Hypothèses!F48*Hypothèses!$C$15</f>
        <v>5800</v>
      </c>
      <c r="G19" s="13" t="n">
        <f aca="false">Hypothèses!G47*Hypothèses!G48*Hypothèses!$C$15</f>
        <v>46400</v>
      </c>
      <c r="H19" s="13" t="n">
        <f aca="false">Hypothèses!H47*Hypothèses!H48*Hypothèses!$C$15</f>
        <v>116000</v>
      </c>
      <c r="I19" s="13" t="n">
        <f aca="false">Hypothèses!I47*Hypothèses!I48*Hypothèses!$C$15</f>
        <v>17400</v>
      </c>
      <c r="J19" s="13" t="n">
        <f aca="false">Hypothèses!J47*Hypothèses!J48*Hypothèses!$C$15</f>
        <v>116000</v>
      </c>
      <c r="K19" s="13" t="n">
        <f aca="false">Hypothèses!K47*Hypothèses!K48*Hypothèses!$C$15</f>
        <v>261000</v>
      </c>
    </row>
    <row r="21" customFormat="false" ht="15" hidden="false" customHeight="false" outlineLevel="0" collapsed="false">
      <c r="B21" s="18" t="s">
        <v>109</v>
      </c>
    </row>
    <row r="22" customFormat="false" ht="15" hidden="false" customHeight="false" outlineLevel="0" collapsed="false">
      <c r="B22" s="29" t="s">
        <v>110</v>
      </c>
      <c r="C22" s="13" t="n">
        <f aca="false">Hypothèses!$C$24*12</f>
        <v>720</v>
      </c>
      <c r="D22" s="13" t="n">
        <f aca="false">Hypothèses!$C$24*12</f>
        <v>720</v>
      </c>
      <c r="E22" s="13" t="n">
        <f aca="false">Hypothèses!$C$24*12</f>
        <v>720</v>
      </c>
      <c r="F22" s="13" t="n">
        <f aca="false">Hypothèses!$C$24*12</f>
        <v>720</v>
      </c>
      <c r="G22" s="13" t="n">
        <f aca="false">Hypothèses!$C$24*12</f>
        <v>720</v>
      </c>
      <c r="H22" s="13" t="n">
        <f aca="false">Hypothèses!$C$24*12</f>
        <v>720</v>
      </c>
      <c r="I22" s="13" t="n">
        <f aca="false">Hypothèses!$C$24*12</f>
        <v>720</v>
      </c>
      <c r="J22" s="13" t="n">
        <f aca="false">Hypothèses!$C$24*12</f>
        <v>720</v>
      </c>
      <c r="K22" s="13" t="n">
        <f aca="false">Hypothèses!$C$24*12</f>
        <v>720</v>
      </c>
    </row>
    <row r="23" customFormat="false" ht="15" hidden="false" customHeight="false" outlineLevel="0" collapsed="false">
      <c r="B23" s="29" t="s">
        <v>111</v>
      </c>
      <c r="C23" s="13" t="n">
        <f aca="false">Hypothèses!$C$25</f>
        <v>1200</v>
      </c>
      <c r="D23" s="13" t="n">
        <f aca="false">Hypothèses!$C$25</f>
        <v>1200</v>
      </c>
      <c r="E23" s="13" t="n">
        <f aca="false">Hypothèses!$C$25</f>
        <v>1200</v>
      </c>
      <c r="F23" s="13" t="n">
        <f aca="false">Hypothèses!$C$25</f>
        <v>1200</v>
      </c>
      <c r="G23" s="13" t="n">
        <f aca="false">Hypothèses!$C$25</f>
        <v>1200</v>
      </c>
      <c r="H23" s="13" t="n">
        <f aca="false">Hypothèses!$C$25</f>
        <v>1200</v>
      </c>
      <c r="I23" s="13" t="n">
        <f aca="false">Hypothèses!$C$25</f>
        <v>1200</v>
      </c>
      <c r="J23" s="13" t="n">
        <f aca="false">Hypothèses!$C$25</f>
        <v>1200</v>
      </c>
      <c r="K23" s="13" t="n">
        <f aca="false">Hypothèses!$C$25</f>
        <v>1200</v>
      </c>
    </row>
    <row r="24" customFormat="false" ht="15" hidden="false" customHeight="false" outlineLevel="0" collapsed="false">
      <c r="B24" s="29" t="s">
        <v>112</v>
      </c>
      <c r="C24" s="13" t="n">
        <f aca="false">C18*Hypothèses!$C$26</f>
        <v>692.22</v>
      </c>
      <c r="D24" s="13" t="n">
        <f aca="false">D18*Hypothèses!$C$26</f>
        <v>1520.7</v>
      </c>
      <c r="E24" s="13" t="n">
        <f aca="false">E18*Hypothèses!$C$26</f>
        <v>2271.12</v>
      </c>
      <c r="F24" s="13" t="n">
        <f aca="false">F18*Hypothèses!$C$26</f>
        <v>1531.62</v>
      </c>
      <c r="G24" s="13" t="n">
        <f aca="false">G18*Hypothèses!$C$26</f>
        <v>3016.8</v>
      </c>
      <c r="H24" s="13" t="n">
        <f aca="false">H18*Hypothèses!$C$26</f>
        <v>4487.76</v>
      </c>
      <c r="I24" s="13" t="n">
        <f aca="false">I18*Hypothèses!$C$26</f>
        <v>2564.7</v>
      </c>
      <c r="J24" s="13" t="n">
        <f aca="false">J18*Hypothèses!$C$26</f>
        <v>4813.2</v>
      </c>
      <c r="K24" s="13" t="n">
        <f aca="false">K18*Hypothèses!$C$26</f>
        <v>7118.4</v>
      </c>
    </row>
    <row r="25" customFormat="false" ht="15" hidden="false" customHeight="false" outlineLevel="0" collapsed="false">
      <c r="B25" s="29" t="s">
        <v>113</v>
      </c>
      <c r="C25" s="13" t="n">
        <f aca="false">(Hypothèses!C36*Hypothèses!$D$6+Hypothèses!C37*Hypothèses!$D$7+Hypothèses!C40*Hypothèses!$D$10+Hypothèses!C41*Hypothèses!$D$11+Hypothèses!C42*Hypothèses!$D$12)*Hypothèses!$C$27</f>
        <v>840</v>
      </c>
      <c r="D25" s="13" t="n">
        <f aca="false">(Hypothèses!D36*Hypothèses!$D$6+Hypothèses!D37*Hypothèses!$D$7+Hypothèses!D40*Hypothèses!$D$10+Hypothèses!D41*Hypothèses!$D$11+Hypothèses!D42*Hypothèses!$D$12)*Hypothèses!$C$27</f>
        <v>1660</v>
      </c>
      <c r="E25" s="13" t="n">
        <f aca="false">(Hypothèses!E36*Hypothèses!$D$6+Hypothèses!E37*Hypothèses!$D$7+Hypothèses!E40*Hypothèses!$D$10+Hypothèses!E41*Hypothèses!$D$11+Hypothèses!E42*Hypothèses!$D$12)*Hypothèses!$C$27</f>
        <v>2480</v>
      </c>
      <c r="F25" s="13" t="n">
        <f aca="false">(Hypothèses!F36*Hypothèses!$D$6+Hypothèses!F37*Hypothèses!$D$7+Hypothèses!F40*Hypothèses!$D$10+Hypothèses!F41*Hypothèses!$D$11+Hypothèses!F42*Hypothèses!$D$12)*Hypothèses!$C$27</f>
        <v>1660</v>
      </c>
      <c r="G25" s="13" t="n">
        <f aca="false">(Hypothèses!G36*Hypothèses!$D$6+Hypothèses!G37*Hypothèses!$D$7+Hypothèses!G40*Hypothèses!$D$10+Hypothèses!G41*Hypothèses!$D$11+Hypothèses!G42*Hypothèses!$D$12)*Hypothèses!$C$27</f>
        <v>2900</v>
      </c>
      <c r="H25" s="13" t="n">
        <f aca="false">(Hypothèses!H36*Hypothèses!$D$6+Hypothèses!H37*Hypothèses!$D$7+Hypothèses!H40*Hypothèses!$D$10+Hypothèses!H41*Hypothèses!$D$11+Hypothèses!H42*Hypothèses!$D$12)*Hypothèses!$C$27</f>
        <v>4120</v>
      </c>
      <c r="I25" s="13" t="n">
        <f aca="false">(Hypothèses!I36*Hypothèses!$D$6+Hypothèses!I37*Hypothèses!$D$7+Hypothèses!I40*Hypothèses!$D$10+Hypothèses!I41*Hypothèses!$D$11+Hypothèses!I42*Hypothèses!$D$12)*Hypothèses!$C$27</f>
        <v>2480</v>
      </c>
      <c r="J25" s="13" t="n">
        <f aca="false">(Hypothèses!J36*Hypothèses!$D$6+Hypothèses!J37*Hypothèses!$D$7+Hypothèses!J40*Hypothèses!$D$10+Hypothèses!J41*Hypothèses!$D$11+Hypothèses!J42*Hypothèses!$D$12)*Hypothèses!$C$27</f>
        <v>4120</v>
      </c>
      <c r="K25" s="13" t="n">
        <f aca="false">(Hypothèses!K36*Hypothèses!$D$6+Hypothèses!K37*Hypothèses!$D$7+Hypothèses!K40*Hypothèses!$D$10+Hypothèses!K41*Hypothèses!$D$11+Hypothèses!K42*Hypothèses!$D$12)*Hypothèses!$C$27</f>
        <v>5700</v>
      </c>
    </row>
    <row r="26" customFormat="false" ht="15" hidden="false" customHeight="false" outlineLevel="0" collapsed="false">
      <c r="B26" s="29" t="s">
        <v>114</v>
      </c>
      <c r="C26" s="13" t="n">
        <f aca="false">IF(Hypothèses!C49=1,Hypothèses!$C$28,IF(Hypothèses!C49=2,Hypothèses!$C$29,0))</f>
        <v>0</v>
      </c>
      <c r="D26" s="13" t="n">
        <f aca="false">IF(Hypothèses!D49=1,Hypothèses!$C$28,IF(Hypothèses!D49=2,Hypothèses!$C$29,0))</f>
        <v>0</v>
      </c>
      <c r="E26" s="13" t="n">
        <f aca="false">IF(Hypothèses!E49=1,Hypothèses!$C$28,IF(Hypothèses!E49=2,Hypothèses!$C$29,0))</f>
        <v>1200</v>
      </c>
      <c r="F26" s="13" t="n">
        <f aca="false">IF(Hypothèses!F49=1,Hypothèses!$C$28,IF(Hypothèses!F49=2,Hypothèses!$C$29,0))</f>
        <v>0</v>
      </c>
      <c r="G26" s="13" t="n">
        <f aca="false">IF(Hypothèses!G49=1,Hypothèses!$C$28,IF(Hypothèses!G49=2,Hypothèses!$C$29,0))</f>
        <v>1200</v>
      </c>
      <c r="H26" s="13" t="n">
        <f aca="false">IF(Hypothèses!H49=1,Hypothèses!$C$28,IF(Hypothèses!H49=2,Hypothèses!$C$29,0))</f>
        <v>600</v>
      </c>
      <c r="I26" s="13" t="n">
        <f aca="false">IF(Hypothèses!I49=1,Hypothèses!$C$28,IF(Hypothèses!I49=2,Hypothèses!$C$29,0))</f>
        <v>0</v>
      </c>
      <c r="J26" s="13" t="n">
        <f aca="false">IF(Hypothèses!J49=1,Hypothèses!$C$28,IF(Hypothèses!J49=2,Hypothèses!$C$29,0))</f>
        <v>1200</v>
      </c>
      <c r="K26" s="13" t="n">
        <f aca="false">IF(Hypothèses!K49=1,Hypothèses!$C$28,IF(Hypothèses!K49=2,Hypothèses!$C$29,0))</f>
        <v>600</v>
      </c>
    </row>
    <row r="27" customFormat="false" ht="15" hidden="false" customHeight="false" outlineLevel="0" collapsed="false">
      <c r="B27" s="31" t="s">
        <v>115</v>
      </c>
      <c r="C27" s="32" t="n">
        <f aca="false">SUM(C22:C26)</f>
        <v>3452.22</v>
      </c>
      <c r="D27" s="32" t="n">
        <f aca="false">SUM(D22:D26)</f>
        <v>5100.7</v>
      </c>
      <c r="E27" s="32" t="n">
        <f aca="false">SUM(E22:E26)</f>
        <v>7871.12</v>
      </c>
      <c r="F27" s="32" t="n">
        <f aca="false">SUM(F22:F26)</f>
        <v>5111.62</v>
      </c>
      <c r="G27" s="32" t="n">
        <f aca="false">SUM(G22:G26)</f>
        <v>9036.8</v>
      </c>
      <c r="H27" s="32" t="n">
        <f aca="false">SUM(H22:H26)</f>
        <v>11127.76</v>
      </c>
      <c r="I27" s="32" t="n">
        <f aca="false">SUM(I22:I26)</f>
        <v>6964.7</v>
      </c>
      <c r="J27" s="32" t="n">
        <f aca="false">SUM(J22:J26)</f>
        <v>12053.2</v>
      </c>
      <c r="K27" s="32" t="n">
        <f aca="false">SUM(K22:K26)</f>
        <v>15338.4</v>
      </c>
    </row>
    <row r="28" customFormat="false" ht="15" hidden="false" customHeight="false" outlineLevel="0" collapsed="false">
      <c r="B28" s="29" t="s">
        <v>116</v>
      </c>
      <c r="C28" s="13" t="n">
        <f aca="false">C18*Hypothèses!$C$23</f>
        <v>5768.5</v>
      </c>
      <c r="D28" s="13" t="n">
        <f aca="false">D18*Hypothèses!$C$23</f>
        <v>12672.5</v>
      </c>
      <c r="E28" s="13" t="n">
        <f aca="false">E18*Hypothèses!$C$23</f>
        <v>18926</v>
      </c>
      <c r="F28" s="13" t="n">
        <f aca="false">F18*Hypothèses!$C$23</f>
        <v>12763.5</v>
      </c>
      <c r="G28" s="13" t="n">
        <f aca="false">G18*Hypothèses!$C$23</f>
        <v>25140</v>
      </c>
      <c r="H28" s="13" t="n">
        <f aca="false">H18*Hypothèses!$C$23</f>
        <v>37398</v>
      </c>
      <c r="I28" s="13" t="n">
        <f aca="false">I18*Hypothèses!$C$23</f>
        <v>21372.5</v>
      </c>
      <c r="J28" s="13" t="n">
        <f aca="false">J18*Hypothèses!$C$23</f>
        <v>40110</v>
      </c>
      <c r="K28" s="13" t="n">
        <f aca="false">K18*Hypothèses!$C$23</f>
        <v>59320</v>
      </c>
    </row>
    <row r="30" customFormat="false" ht="15" hidden="false" customHeight="false" outlineLevel="0" collapsed="false">
      <c r="B30" s="18" t="s">
        <v>117</v>
      </c>
    </row>
    <row r="31" customFormat="false" ht="15" hidden="false" customHeight="false" outlineLevel="0" collapsed="false">
      <c r="B31" s="30" t="s">
        <v>22</v>
      </c>
      <c r="C31" s="14" t="n">
        <f aca="false">C18-C27-C28</f>
        <v>13853.28</v>
      </c>
      <c r="D31" s="14" t="n">
        <f aca="false">D18-D27-D28</f>
        <v>32916.8</v>
      </c>
      <c r="E31" s="14" t="n">
        <f aca="false">E18-E27-E28</f>
        <v>48906.88</v>
      </c>
      <c r="F31" s="14" t="n">
        <f aca="false">F18-F27-F28</f>
        <v>33178.88</v>
      </c>
      <c r="G31" s="14" t="n">
        <f aca="false">G18-G27-G28</f>
        <v>66383.2</v>
      </c>
      <c r="H31" s="14" t="n">
        <f aca="false">H18-H27-H28</f>
        <v>101066.24</v>
      </c>
      <c r="I31" s="14" t="n">
        <f aca="false">I18-I27-I28</f>
        <v>57152.8</v>
      </c>
      <c r="J31" s="14" t="n">
        <f aca="false">J18-J27-J28</f>
        <v>108276.8</v>
      </c>
      <c r="K31" s="14" t="n">
        <f aca="false">K18-K27-K28</f>
        <v>162621.6</v>
      </c>
    </row>
    <row r="32" customFormat="false" ht="15" hidden="false" customHeight="false" outlineLevel="0" collapsed="false">
      <c r="B32" s="12" t="s">
        <v>118</v>
      </c>
      <c r="C32" s="33" t="n">
        <f aca="false">C31/12</f>
        <v>1154.44</v>
      </c>
      <c r="D32" s="33" t="n">
        <f aca="false">D31/12</f>
        <v>2743.06666666667</v>
      </c>
      <c r="E32" s="33" t="n">
        <f aca="false">E31/12</f>
        <v>4075.57333333333</v>
      </c>
      <c r="F32" s="33" t="n">
        <f aca="false">F31/12</f>
        <v>2764.90666666667</v>
      </c>
      <c r="G32" s="33" t="n">
        <f aca="false">G31/12</f>
        <v>5531.93333333333</v>
      </c>
      <c r="H32" s="33" t="n">
        <f aca="false">H31/12</f>
        <v>8422.18666666667</v>
      </c>
      <c r="I32" s="33" t="n">
        <f aca="false">I31/12</f>
        <v>4762.73333333333</v>
      </c>
      <c r="J32" s="33" t="n">
        <f aca="false">J31/12</f>
        <v>9023.06666666667</v>
      </c>
      <c r="K32" s="33" t="n">
        <f aca="false">K31/12</f>
        <v>13551.8</v>
      </c>
    </row>
    <row r="33" customFormat="false" ht="15" hidden="false" customHeight="false" outlineLevel="0" collapsed="false">
      <c r="B33" s="29" t="s">
        <v>119</v>
      </c>
      <c r="C33" s="16" t="n">
        <f aca="false">IFERROR(C17/C18,0)</f>
        <v>0</v>
      </c>
      <c r="D33" s="16" t="n">
        <f aca="false">IFERROR(D17/D18,0)</f>
        <v>0.0514894456500296</v>
      </c>
      <c r="E33" s="16" t="n">
        <f aca="false">IFERROR(E17/E18,0)</f>
        <v>0.0919370178590299</v>
      </c>
      <c r="F33" s="16" t="n">
        <f aca="false">IFERROR(F17/F18,0)</f>
        <v>0.0170407803502174</v>
      </c>
      <c r="G33" s="16" t="n">
        <f aca="false">IFERROR(G17/G18,0)</f>
        <v>0.0692124105011933</v>
      </c>
      <c r="H33" s="16" t="n">
        <f aca="false">IFERROR(H17/H18,0)</f>
        <v>0.11631638055511</v>
      </c>
      <c r="I33" s="16" t="n">
        <f aca="false">IFERROR(I17/I18,0)</f>
        <v>0.030529886536437</v>
      </c>
      <c r="J33" s="16" t="n">
        <f aca="false">IFERROR(J17/J18,0)</f>
        <v>0.108451757666417</v>
      </c>
      <c r="K33" s="16" t="n">
        <f aca="false">IFERROR(K17/K18,0)</f>
        <v>0.164994942683749</v>
      </c>
    </row>
    <row r="34" customFormat="false" ht="15" hidden="false" customHeight="false" outlineLevel="0" collapsed="false">
      <c r="B34" s="29" t="s">
        <v>120</v>
      </c>
      <c r="C34" s="16" t="n">
        <f aca="false">IFERROR(C13/C18,0)</f>
        <v>0.0624079050013002</v>
      </c>
      <c r="D34" s="16" t="n">
        <f aca="false">IFERROR(D13/D18,0)</f>
        <v>0.0852239100414283</v>
      </c>
      <c r="E34" s="16" t="n">
        <f aca="false">IFERROR(E13/E18,0)</f>
        <v>0.0951072598541689</v>
      </c>
      <c r="F34" s="16" t="n">
        <f aca="false">IFERROR(F13/F18,0)</f>
        <v>0.0564108590903749</v>
      </c>
      <c r="G34" s="16" t="n">
        <f aca="false">IFERROR(G13/G18,0)</f>
        <v>0.0859188544152745</v>
      </c>
      <c r="H34" s="16" t="n">
        <f aca="false">IFERROR(H13/H18,0)</f>
        <v>0.0962618321835392</v>
      </c>
      <c r="I34" s="16" t="n">
        <f aca="false">IFERROR(I13/I18,0)</f>
        <v>0.067376301321792</v>
      </c>
      <c r="J34" s="16" t="n">
        <f aca="false">IFERROR(J13/J18,0)</f>
        <v>0.0897531787584144</v>
      </c>
      <c r="K34" s="16" t="n">
        <f aca="false">IFERROR(K13/K18,0)</f>
        <v>0.101146325016858</v>
      </c>
    </row>
    <row r="36" customFormat="false" ht="15" hidden="false" customHeight="false" outlineLevel="0" collapsed="false">
      <c r="B36" s="18" t="s">
        <v>121</v>
      </c>
    </row>
    <row r="37" customFormat="false" ht="15" hidden="false" customHeight="false" outlineLevel="0" collapsed="false">
      <c r="B37" s="12" t="s">
        <v>122</v>
      </c>
      <c r="C37" s="34" t="n">
        <f aca="false">Hypothèses!C36*Hypothèses!$D$6+Hypothèses!C37*Hypothèses!$D$7+Hypothèses!C38*Hypothèses!$D$8+Hypothèses!C39*Hypothèses!$D$9+Hypothèses!C40*Hypothèses!$D$10+Hypothèses!C41*Hypothèses!$D$11+Hypothèses!C42*Hypothèses!$D$12+Hypothèses!C43*Hypothèses!$C$18+Hypothèses!C45*Hypothèses!$C$19+Hypothèses!C47*Hypothèses!$C$20</f>
        <v>39</v>
      </c>
      <c r="D37" s="34" t="n">
        <f aca="false">Hypothèses!D36*Hypothèses!$D$6+Hypothèses!D37*Hypothèses!$D$7+Hypothèses!D38*Hypothèses!$D$8+Hypothèses!D39*Hypothèses!$D$9+Hypothèses!D40*Hypothèses!$D$10+Hypothèses!D41*Hypothèses!$D$11+Hypothèses!D42*Hypothèses!$D$12+Hypothèses!D43*Hypothèses!$C$18+Hypothèses!D45*Hypothèses!$C$19+Hypothèses!D47*Hypothèses!$C$20</f>
        <v>81.5</v>
      </c>
      <c r="E37" s="34" t="n">
        <f aca="false">Hypothèses!E36*Hypothèses!$D$6+Hypothèses!E37*Hypothèses!$D$7+Hypothèses!E38*Hypothèses!$D$8+Hypothèses!E39*Hypothèses!$D$9+Hypothèses!E40*Hypothèses!$D$10+Hypothèses!E41*Hypothèses!$D$11+Hypothèses!E42*Hypothèses!$D$12+Hypothèses!E43*Hypothèses!$C$18+Hypothèses!E45*Hypothèses!$C$19+Hypothèses!E47*Hypothèses!$C$20</f>
        <v>115</v>
      </c>
      <c r="F37" s="34" t="n">
        <f aca="false">Hypothèses!F36*Hypothèses!$D$6+Hypothèses!F37*Hypothèses!$D$7+Hypothèses!F38*Hypothèses!$D$8+Hypothèses!F39*Hypothèses!$D$9+Hypothèses!F40*Hypothèses!$D$10+Hypothèses!F41*Hypothèses!$D$11+Hypothèses!F42*Hypothèses!$D$12+Hypothèses!F43*Hypothèses!$C$18+Hypothèses!F45*Hypothèses!$C$19+Hypothèses!F47*Hypothèses!$C$20</f>
        <v>78</v>
      </c>
      <c r="G37" s="34" t="n">
        <f aca="false">Hypothèses!G36*Hypothèses!$D$6+Hypothèses!G37*Hypothèses!$D$7+Hypothèses!G38*Hypothèses!$D$8+Hypothèses!G39*Hypothèses!$D$9+Hypothèses!G40*Hypothèses!$D$10+Hypothèses!G41*Hypothèses!$D$11+Hypothèses!G42*Hypothèses!$D$12+Hypothèses!G43*Hypothèses!$C$18+Hypothèses!G45*Hypothèses!$C$19+Hypothèses!G47*Hypothèses!$C$20</f>
        <v>143.5</v>
      </c>
      <c r="H37" s="34" t="n">
        <f aca="false">Hypothèses!H36*Hypothèses!$D$6+Hypothèses!H37*Hypothèses!$D$7+Hypothèses!H38*Hypothèses!$D$8+Hypothèses!H39*Hypothèses!$D$9+Hypothèses!H40*Hypothèses!$D$10+Hypothèses!H41*Hypothèses!$D$11+Hypothèses!H42*Hypothèses!$D$12+Hypothèses!H43*Hypothèses!$C$18+Hypothèses!H45*Hypothèses!$C$19+Hypothèses!H47*Hypothèses!$C$20</f>
        <v>206</v>
      </c>
      <c r="I37" s="34" t="n">
        <f aca="false">Hypothèses!I36*Hypothèses!$D$6+Hypothèses!I37*Hypothèses!$D$7+Hypothèses!I38*Hypothèses!$D$8+Hypothèses!I39*Hypothèses!$D$9+Hypothèses!I40*Hypothèses!$D$10+Hypothèses!I41*Hypothèses!$D$11+Hypothèses!I42*Hypothèses!$D$12+Hypothèses!I43*Hypothèses!$C$18+Hypothèses!I45*Hypothèses!$C$19+Hypothèses!I47*Hypothèses!$C$20</f>
        <v>121.5</v>
      </c>
      <c r="J37" s="34" t="n">
        <f aca="false">Hypothèses!J36*Hypothèses!$D$6+Hypothèses!J37*Hypothèses!$D$7+Hypothèses!J38*Hypothèses!$D$8+Hypothèses!J39*Hypothèses!$D$9+Hypothèses!J40*Hypothèses!$D$10+Hypothèses!J41*Hypothèses!$D$11+Hypothèses!J42*Hypothèses!$D$12+Hypothèses!J43*Hypothèses!$C$18+Hypothèses!J45*Hypothèses!$C$19+Hypothèses!J47*Hypothèses!$C$20</f>
        <v>213.5</v>
      </c>
      <c r="K37" s="34" t="n">
        <f aca="false">Hypothèses!K36*Hypothèses!$D$6+Hypothèses!K37*Hypothèses!$D$7+Hypothèses!K38*Hypothèses!$D$8+Hypothèses!K39*Hypothèses!$D$9+Hypothèses!K40*Hypothèses!$D$10+Hypothèses!K41*Hypothèses!$D$11+Hypothèses!K42*Hypothèses!$D$12+Hypothèses!K43*Hypothèses!$C$18+Hypothèses!K45*Hypothèses!$C$19+Hypothèses!K47*Hypothèses!$C$20</f>
        <v>302</v>
      </c>
    </row>
    <row r="38" customFormat="false" ht="15" hidden="false" customHeight="false" outlineLevel="0" collapsed="false">
      <c r="B38" s="12" t="s">
        <v>123</v>
      </c>
      <c r="C38" s="35" t="n">
        <f aca="false">C37/Hypothèses!$C$22</f>
        <v>0.325</v>
      </c>
      <c r="D38" s="35" t="n">
        <f aca="false">D37/Hypothèses!$C$22</f>
        <v>0.679166666666667</v>
      </c>
      <c r="E38" s="35" t="n">
        <f aca="false">E37/Hypothèses!$C$22</f>
        <v>0.958333333333333</v>
      </c>
      <c r="F38" s="35" t="n">
        <f aca="false">F37/Hypothèses!$C$22</f>
        <v>0.65</v>
      </c>
      <c r="G38" s="35" t="n">
        <f aca="false">G37/Hypothèses!$C$22</f>
        <v>1.19583333333333</v>
      </c>
      <c r="H38" s="35" t="n">
        <f aca="false">H37/Hypothèses!$C$22</f>
        <v>1.71666666666667</v>
      </c>
      <c r="I38" s="35" t="n">
        <f aca="false">I37/Hypothèses!$C$22</f>
        <v>1.0125</v>
      </c>
      <c r="J38" s="35" t="n">
        <f aca="false">J37/Hypothèses!$C$22</f>
        <v>1.77916666666667</v>
      </c>
      <c r="K38" s="35" t="n">
        <f aca="false">K37/Hypothèses!$C$22</f>
        <v>2.51666666666667</v>
      </c>
    </row>
    <row r="39" customFormat="false" ht="15" hidden="false" customHeight="false" outlineLevel="0" collapsed="false">
      <c r="B39" s="29" t="s">
        <v>124</v>
      </c>
      <c r="C39" s="13" t="n">
        <f aca="false">IFERROR(C18/C37,0)</f>
        <v>591.641025641026</v>
      </c>
      <c r="D39" s="13" t="n">
        <f aca="false">IFERROR(D18/D37,0)</f>
        <v>621.963190184049</v>
      </c>
      <c r="E39" s="13" t="n">
        <f aca="false">IFERROR(E18/E37,0)</f>
        <v>658.295652173913</v>
      </c>
      <c r="F39" s="13" t="n">
        <f aca="false">IFERROR(F18/F37,0)</f>
        <v>654.538461538462</v>
      </c>
      <c r="G39" s="13" t="n">
        <f aca="false">IFERROR(G18/G37,0)</f>
        <v>700.766550522648</v>
      </c>
      <c r="H39" s="13" t="n">
        <f aca="false">IFERROR(H18/H37,0)</f>
        <v>726.174757281553</v>
      </c>
      <c r="I39" s="13" t="n">
        <f aca="false">IFERROR(I18/I37,0)</f>
        <v>703.621399176955</v>
      </c>
      <c r="J39" s="13" t="n">
        <f aca="false">IFERROR(J18/J37,0)</f>
        <v>751.475409836066</v>
      </c>
      <c r="K39" s="13" t="n">
        <f aca="false">IFERROR(K18/K37,0)</f>
        <v>785.695364238411</v>
      </c>
    </row>
    <row r="40" customFormat="false" ht="15" hidden="false" customHeight="false" outlineLevel="0" collapsed="false">
      <c r="B40" s="29" t="s">
        <v>125</v>
      </c>
      <c r="C40" s="17" t="str">
        <f aca="false">IF(C18&gt;Hypothèses!$C$30,"Oui : changer de statut","Non")</f>
        <v>Non</v>
      </c>
      <c r="D40" s="17" t="str">
        <f aca="false">IF(D18&gt;Hypothèses!$C$30,"Oui : changer de statut","Non")</f>
        <v>Non</v>
      </c>
      <c r="E40" s="17" t="str">
        <f aca="false">IF(E18&gt;Hypothèses!$C$30,"Oui : changer de statut","Non")</f>
        <v>Non</v>
      </c>
      <c r="F40" s="17" t="str">
        <f aca="false">IF(F18&gt;Hypothèses!$C$30,"Oui : changer de statut","Non")</f>
        <v>Non</v>
      </c>
      <c r="G40" s="17" t="str">
        <f aca="false">IF(G18&gt;Hypothèses!$C$30,"Oui : changer de statut","Non")</f>
        <v>Oui : changer de statut</v>
      </c>
      <c r="H40" s="17" t="str">
        <f aca="false">IF(H18&gt;Hypothèses!$C$30,"Oui : changer de statut","Non")</f>
        <v>Oui : changer de statut</v>
      </c>
      <c r="I40" s="17" t="str">
        <f aca="false">IF(I18&gt;Hypothèses!$C$30,"Oui : changer de statut","Non")</f>
        <v>Oui : changer de statut</v>
      </c>
      <c r="J40" s="17" t="str">
        <f aca="false">IF(J18&gt;Hypothèses!$C$30,"Oui : changer de statut","Non")</f>
        <v>Oui : changer de statut</v>
      </c>
      <c r="K40" s="17" t="str">
        <f aca="false">IF(K18&gt;Hypothèses!$C$30,"Oui : changer de statut","Non")</f>
        <v>Oui : changer de statut</v>
      </c>
    </row>
  </sheetData>
  <mergeCells count="3">
    <mergeCell ref="C5:E5"/>
    <mergeCell ref="F5:H5"/>
    <mergeCell ref="I5:K5"/>
  </mergeCells>
  <conditionalFormatting sqref="C38:K38">
    <cfRule type="cellIs" priority="2" operator="greaterThan" aboveAverage="0" equalAverage="0" bottom="0" percent="0" rank="0" text="" dxfId="0">
      <formula>1</formula>
    </cfRule>
  </conditionalFormatting>
  <conditionalFormatting sqref="C40:K40">
    <cfRule type="cellIs" priority="3" operator="equal" aboveAverage="0" equalAverage="0" bottom="0" percent="0" rank="0" text="" dxfId="0">
      <formula>"Oui : changer de statut"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2026-10-03T06:47:03Z</dcterms:created>
  <dc:creator>openpyxl</dc:creator>
  <dc:description/>
  <dc:language>en-US</dc:language>
  <cp:lastModifiedBy/>
  <dcterms:modified xsi:type="dcterms:W3CDTF">2026-10-03T08:47:06Z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