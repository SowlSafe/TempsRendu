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Chiffrage" sheetId="2" state="visible" r:id="rId4"/>
    <sheet name="Synthèse" sheetId="3" state="visible" r:id="rId5"/>
    <sheet name="Paramèt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<sst xmlns="http://schemas.openxmlformats.org/spreadsheetml/2006/main" count="64" uniqueCount="60">
  <si>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Chiffrage du temps perdu</t>
  </si>
  <si>
    <t xml:space="preserve">Ce fichier transforme vos observations et entretiens en heures rendues par an, et classe les tâches par priorité.</t>
  </si>
  <si>
    <t xml:space="preserve">Comment le remplir</t>
  </si>
  <si>
    <t xml:space="preserve">1. Onglet « Chiffrage » : une ligne par tâche répétitive repérée. Remplissez uniquement les cellules jaunes.</t>
  </si>
  <si>
    <t xml:space="preserve">2. Durée : le temps d'une occurrence, en minutes. Occurrences : combien de fois par semaine et par personne.</t>
  </si>
  <si>
    <t xml:space="preserve">3. Part automatisable : la part de la tâche qu'un outil pourrait faire (estimation prudente : 30 à 70 %).</t>
  </si>
  <si>
    <t xml:space="preserve">4. Facilité : 1 = simple (un seul outil), 2 = moyenne, 3 = complexe (plusieurs outils, documents, cas particuliers).</t>
  </si>
  <si>
    <t xml:space="preserve">5. Les colonnes grises se calculent seules. L'onglet « Synthèse » donne les totaux à reporter dans le rapport.</t>
  </si>
  <si>
    <t xml:space="preserve">Bon à savoir</t>
  </si>
  <si>
    <t xml:space="preserve">La première ligne du tableau est un exemple : remplacez-la ou supprimez-la.</t>
  </si>
  <si>
    <t xml:space="preserve">Le nombre de semaines travaillées et les seuils de priorité se règlent dans l'onglet « Paramètres ».</t>
  </si>
  <si>
    <t xml:space="preserve">Priorité = heures rendues par an divisées par la facilité : un gain important et simple passe en premier.</t>
  </si>
  <si>
    <t xml:space="preserve">Légende</t>
  </si>
  <si>
    <t xml:space="preserve">Cellule à remplir</t>
  </si>
  <si>
    <t xml:space="preserve">Cellule calculée automatiquement</t>
  </si>
  <si>
    <t xml:space="preserve">Client : </t>
  </si>
  <si>
    <t xml:space="preserve">Date : </t>
  </si>
  <si>
    <t xml:space="preserve">N°</t>
  </si>
  <si>
    <t xml:space="preserve">Service</t>
  </si>
  <si>
    <t xml:space="preserve">Poste</t>
  </si>
  <si>
    <t xml:space="preserve">Tâche répétitive</t>
  </si>
  <si>
    <t xml:space="preserve">Outil(s)</t>
  </si>
  <si>
    <t xml:space="preserve">Durée d'une fois (min)</t>
  </si>
  <si>
    <t xml:space="preserve">Fois par semaine (par personne)</t>
  </si>
  <si>
    <t xml:space="preserve">Personnes concernées</t>
  </si>
  <si>
    <t xml:space="preserve">Part automatisable</t>
  </si>
  <si>
    <t xml:space="preserve">Facilité (1 à 3)</t>
  </si>
  <si>
    <t xml:space="preserve">Minutes perdues / semaine</t>
  </si>
  <si>
    <t xml:space="preserve">Heures perdues / an</t>
  </si>
  <si>
    <t xml:space="preserve">Heures rendues / an</t>
  </si>
  <si>
    <t xml:space="preserve">Score</t>
  </si>
  <si>
    <t xml:space="preserve">Priorité</t>
  </si>
  <si>
    <t xml:space="preserve">Commercial</t>
  </si>
  <si>
    <t xml:space="preserve">Assistante commerciale</t>
  </si>
  <si>
    <t xml:space="preserve">Relance des devis par mail</t>
  </si>
  <si>
    <t xml:space="preserve">Gmail, Excel</t>
  </si>
  <si>
    <t xml:space="preserve">Cellules jaunes : à remplir · cellules grises : calculées. Première ligne = exemple.</t>
  </si>
  <si>
    <t xml:space="preserve">Synthèse du diagnostic</t>
  </si>
  <si>
    <t xml:space="preserve">Tâches répétitives recensées</t>
  </si>
  <si>
    <t xml:space="preserve">Heures perdues par an (toutes tâches)</t>
  </si>
  <si>
    <t xml:space="preserve">Heures rendues par an après automatisation</t>
  </si>
  <si>
    <t xml:space="preserve">Chiffre clé à reporter dans le rapport</t>
  </si>
  <si>
    <t xml:space="preserve">Soit en jours de travail</t>
  </si>
  <si>
    <t xml:space="preserve">Tâches en priorité Haute</t>
  </si>
  <si>
    <t xml:space="preserve">Tâches en priorité Moyenne</t>
  </si>
  <si>
    <t xml:space="preserve">Tâches en priorité Basse</t>
  </si>
  <si>
    <t xml:space="preserve">Heures rendues par an · priorité Haute seule</t>
  </si>
  <si>
    <t xml:space="preserve">Ce que rapporte une première phase ciblée</t>
  </si>
  <si>
    <t xml:space="preserve">Par service</t>
  </si>
  <si>
    <t xml:space="preserve">Service (à saisir)</t>
  </si>
  <si>
    <t xml:space="preserve">Saisissez les noms de service exactement comme dans l'onglet Chiffrage.</t>
  </si>
  <si>
    <t xml:space="preserve">Paramètres</t>
  </si>
  <si>
    <t xml:space="preserve">Semaines travaillées par an</t>
  </si>
  <si>
    <t xml:space="preserve">220 jours ÷ 5 jours</t>
  </si>
  <si>
    <t xml:space="preserve">Heures par jour de travail</t>
  </si>
  <si>
    <t xml:space="preserve">Pour convertir les heures en jours</t>
  </si>
  <si>
    <t xml:space="preserve">Seuil priorité Haute (score ≥)</t>
  </si>
  <si>
    <t xml:space="preserve">Score = heures rendues par an ÷ facilité</t>
  </si>
  <si>
    <t xml:space="preserve">Seuil priorité Moyenne (score ≥)</t>
  </si>
  <si>
    <t xml:space="preserve">En dessous : priorité Basse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</si>
</sst>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1E"/>
      <name val="Arial"/>
      <family val="0"/>
      <charset val="1"/>
    </font>
    <font>
      <sz val="11"/>
      <color rgb="FF56655F"/>
      <name val="Arial"/>
      <family val="0"/>
      <charset val="1"/>
    </font>
    <font>
      <b val="true"/>
      <sz val="13"/>
      <color rgb="FF8A5E00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3231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2"/>
      <color rgb="FF13231E"/>
      <name val="Arial"/>
      <family val="0"/>
      <charset val="1"/>
    </font>
    <font>
      <b val="true"/>
      <sz val="12"/>
      <color rgb="FF8A5E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665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BEFCF"/>
      </patternFill>
    </fill>
    <fill>
      <patternFill patternType="solid">
        <fgColor rgb="FFF4F6F3"/>
        <bgColor rgb="FFFFFFFF"/>
      </patternFill>
    </fill>
    <fill>
      <patternFill patternType="solid">
        <fgColor rgb="FF13231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3231E"/>
      </font>
      <fill>
        <patternFill>
          <bgColor rgb="FFF0B43A"/>
        </patternFill>
      </fill>
    </dxf>
    <dxf>
      <font>
        <name val="Arial"/>
        <charset val="1"/>
        <family val="0"/>
        <color rgb="FF13231E"/>
      </font>
      <fill>
        <patternFill>
          <bgColor rgb="FFFBEFCF"/>
        </patternFill>
      </fill>
    </dxf>
    <dxf>
      <font>
        <name val="Arial"/>
        <charset val="1"/>
        <family val="0"/>
        <color rgb="FF56655F"/>
      </font>
      <fill>
        <patternFill>
          <bgColor rgb="FFDCE4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E00"/>
      <rgbColor rgb="FF800080"/>
      <rgbColor rgb="FF008080"/>
      <rgbColor rgb="FFC9D3CE"/>
      <rgbColor rgb="FF808080"/>
      <rgbColor rgb="FF9999FF"/>
      <rgbColor rgb="FF993366"/>
      <rgbColor rgb="FFFFF4CC"/>
      <rgbColor rgb="FFF4F6F3"/>
      <rgbColor rgb="FF660066"/>
      <rgbColor rgb="FFFF8080"/>
      <rgbColor rgb="FF0066CC"/>
      <rgbColor rgb="FFDC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FCF"/>
      <rgbColor rgb="FF99CCFF"/>
      <rgbColor rgb="FFFF99CC"/>
      <rgbColor rgb="FFCC99FF"/>
      <rgbColor rgb="FFFFCC99"/>
      <rgbColor rgb="FF3366FF"/>
      <rgbColor rgb="FF33CCCC"/>
      <rgbColor rgb="FF99CC00"/>
      <rgbColor rgb="FFF0B43A"/>
      <rgbColor rgb="FFC98A00"/>
      <rgbColor rgb="FFFF6600"/>
      <rgbColor rgb="FF56655F"/>
      <rgbColor rgb="FF969696"/>
      <rgbColor rgb="FF003366"/>
      <rgbColor rgb="FF339966"/>
      <rgbColor rgb="FF1323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2304720</xdr:colOff>
      <xdr:row>3</xdr:row>
      <xdr:rowOff>75600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3047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false"/>
  </sheetPr>
  <dimension ref="B5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5" customFormat="false" ht="22.05" hidden="false" customHeight="false" outlineLevel="0" collapsed="false">
      <c r="B5" s="1" t="s">
        <v>0</v>
      </c>
    </row>
    <row r="6" customFormat="false" ht="26.85" hidden="false" customHeight="false" outlineLevel="0" collapsed="false">
      <c r="B6" s="2" t="s">
        <v>1</v>
      </c>
    </row>
    <row r="7" customFormat="false" ht="15" hidden="false" customHeight="false" outlineLevel="0" collapsed="false">
      <c r="B7" s="3"/>
    </row>
    <row r="8" customFormat="false" ht="16.15" hidden="false" customHeight="false" outlineLevel="0" collapsed="false">
      <c r="B8" s="4" t="s">
        <v>2</v>
      </c>
    </row>
    <row r="9" customFormat="false" ht="15" hidden="false" customHeight="false" outlineLevel="0" collapsed="false">
      <c r="B9" s="5" t="s">
        <v>3</v>
      </c>
    </row>
    <row r="10" customFormat="false" ht="26.85" hidden="false" customHeight="false" outlineLevel="0" collapsed="false">
      <c r="B10" s="5" t="s">
        <v>4</v>
      </c>
    </row>
    <row r="11" customFormat="false" ht="15" hidden="false" customHeight="false" outlineLevel="0" collapsed="false">
      <c r="B11" s="5" t="s">
        <v>5</v>
      </c>
    </row>
    <row r="12" customFormat="false" ht="26.85" hidden="false" customHeight="false" outlineLevel="0" collapsed="false">
      <c r="B12" s="5" t="s">
        <v>6</v>
      </c>
    </row>
    <row r="13" customFormat="false" ht="26.8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4" t="s">
        <v>8</v>
      </c>
    </row>
    <row r="16" customFormat="false" ht="15" hidden="false" customHeight="false" outlineLevel="0" collapsed="false">
      <c r="B16" s="5" t="s">
        <v>9</v>
      </c>
    </row>
    <row r="17" customFormat="false" ht="15" hidden="false" customHeight="false" outlineLevel="0" collapsed="false">
      <c r="B17" s="5" t="s">
        <v>10</v>
      </c>
    </row>
    <row r="18" customFormat="false" ht="15" hidden="false" customHeight="false" outlineLevel="0" collapsed="false">
      <c r="B18" s="5" t="s">
        <v>11</v>
      </c>
    </row>
    <row r="19" customFormat="false" ht="15" hidden="false" customHeight="false" outlineLevel="0" collapsed="false">
      <c r="B19" s="3"/>
    </row>
    <row r="20" customFormat="false" ht="16.15" hidden="false" customHeight="false" outlineLevel="0" collapsed="false">
      <c r="B20" s="4" t="s">
        <v>12</v>
      </c>
    </row>
    <row r="21" customFormat="false" ht="15" hidden="false" customHeight="false" outlineLevel="0" collapsed="false">
      <c r="B21" s="6" t="s">
        <v>13</v>
      </c>
    </row>
    <row r="22" customFormat="false" ht="15" hidden="false" customHeight="false" outlineLevel="0" collapsed="false">
      <c r="B22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1E"/>
    <pageSetUpPr fitToPage="false"/>
  </sheetPr>
  <dimension ref="A1:O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6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9"/>
    <col collapsed="false" customWidth="true" hidden="false" outlineLevel="0" max="15" min="15" style="0" width="11"/>
  </cols>
  <sheetData>
    <row r="1" customFormat="false" ht="19.7" hidden="false" customHeight="false" outlineLevel="0" collapsed="false">
      <c r="A1" s="8" t="s">
        <v>0</v>
      </c>
    </row>
    <row r="2" customFormat="false" ht="15" hidden="false" customHeight="false" outlineLevel="0" collapsed="false">
      <c r="A2" s="9" t="s">
        <v>15</v>
      </c>
      <c r="B2" s="10"/>
      <c r="D2" s="9" t="s">
        <v>16</v>
      </c>
      <c r="E2" s="10"/>
    </row>
    <row r="4" customFormat="false" ht="43.5" hidden="false" customHeight="true" outlineLevel="0" collapsed="false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1" t="s">
        <v>28</v>
      </c>
      <c r="M4" s="11" t="s">
        <v>29</v>
      </c>
      <c r="N4" s="11" t="s">
        <v>30</v>
      </c>
      <c r="O4" s="11" t="s">
        <v>31</v>
      </c>
    </row>
    <row r="5" customFormat="false" ht="15" hidden="false" customHeight="false" outlineLevel="0" collapsed="false">
      <c r="A5" s="12" t="n">
        <v>1</v>
      </c>
      <c r="B5" s="13" t="s">
        <v>32</v>
      </c>
      <c r="C5" s="13" t="s">
        <v>33</v>
      </c>
      <c r="D5" s="14" t="s">
        <v>34</v>
      </c>
      <c r="E5" s="13" t="s">
        <v>35</v>
      </c>
      <c r="F5" s="13" t="n">
        <v>10</v>
      </c>
      <c r="G5" s="13" t="n">
        <v>5</v>
      </c>
      <c r="H5" s="13" t="n">
        <v>2</v>
      </c>
      <c r="I5" s="15" t="n">
        <v>0.7</v>
      </c>
      <c r="J5" s="13" t="n">
        <v>1</v>
      </c>
      <c r="K5" s="16" t="n">
        <f aca="false">IF(OR(F5="",G5="",H5=""),"",F5*G5*H5)</f>
        <v>100</v>
      </c>
      <c r="L5" s="16" t="n">
        <f aca="false">IF(K5="","",K5/60*Paramètres!$C$4)</f>
        <v>73.3333333333333</v>
      </c>
      <c r="M5" s="16" t="n">
        <f aca="false">IF(OR(L5="",I5=""),"",L5*I5)</f>
        <v>51.3333333333333</v>
      </c>
      <c r="N5" s="17" t="n">
        <f aca="false">IF(OR(M5="",J5="",J5=0),"",M5/J5)</f>
        <v>51.3333333333333</v>
      </c>
      <c r="O5" s="18" t="str">
        <f aca="false">IF(N5="","",IF(N5&gt;=Paramètres!$C$6,"Haute",IF(N5&gt;=Paramètres!$C$7,"Moyenne","Basse")))</f>
        <v>Haute</v>
      </c>
    </row>
    <row r="6" customFormat="false" ht="15" hidden="false" customHeight="false" outlineLevel="0" collapsed="false">
      <c r="A6" s="12" t="n">
        <v>2</v>
      </c>
      <c r="B6" s="13"/>
      <c r="C6" s="13"/>
      <c r="D6" s="14"/>
      <c r="E6" s="13"/>
      <c r="F6" s="13"/>
      <c r="G6" s="13"/>
      <c r="H6" s="13"/>
      <c r="I6" s="15"/>
      <c r="J6" s="13"/>
      <c r="K6" s="16" t="str">
        <f aca="false">IF(OR(F6="",G6="",H6=""),"",F6*G6*H6)</f>
        <v/>
      </c>
      <c r="L6" s="16" t="str">
        <f aca="false">IF(K6="","",K6/60*Paramètres!$C$4)</f>
        <v/>
      </c>
      <c r="M6" s="16" t="str">
        <f aca="false">IF(OR(L6="",I6=""),"",L6*I6)</f>
        <v/>
      </c>
      <c r="N6" s="17" t="str">
        <f aca="false">IF(OR(M6="",J6="",J6=0),"",M6/J6)</f>
        <v/>
      </c>
      <c r="O6" s="18" t="str">
        <f aca="false">IF(N6="","",IF(N6&gt;=Paramètres!$C$6,"Haute",IF(N6&gt;=Paramètres!$C$7,"Moyenne","Basse")))</f>
        <v/>
      </c>
    </row>
    <row r="7" customFormat="false" ht="15" hidden="false" customHeight="false" outlineLevel="0" collapsed="false">
      <c r="A7" s="12" t="n">
        <v>3</v>
      </c>
      <c r="B7" s="13"/>
      <c r="C7" s="13"/>
      <c r="D7" s="14"/>
      <c r="E7" s="13"/>
      <c r="F7" s="13"/>
      <c r="G7" s="13"/>
      <c r="H7" s="13"/>
      <c r="I7" s="15"/>
      <c r="J7" s="13"/>
      <c r="K7" s="16" t="str">
        <f aca="false">IF(OR(F7="",G7="",H7=""),"",F7*G7*H7)</f>
        <v/>
      </c>
      <c r="L7" s="16" t="str">
        <f aca="false">IF(K7="","",K7/60*Paramètres!$C$4)</f>
        <v/>
      </c>
      <c r="M7" s="16" t="str">
        <f aca="false">IF(OR(L7="",I7=""),"",L7*I7)</f>
        <v/>
      </c>
      <c r="N7" s="17" t="str">
        <f aca="false">IF(OR(M7="",J7="",J7=0),"",M7/J7)</f>
        <v/>
      </c>
      <c r="O7" s="18" t="str">
        <f aca="false">IF(N7="","",IF(N7&gt;=Paramètres!$C$6,"Haute",IF(N7&gt;=Paramètres!$C$7,"Moyenne","Basse")))</f>
        <v/>
      </c>
    </row>
    <row r="8" customFormat="false" ht="15" hidden="false" customHeight="false" outlineLevel="0" collapsed="false">
      <c r="A8" s="12" t="n">
        <v>4</v>
      </c>
      <c r="B8" s="13"/>
      <c r="C8" s="13"/>
      <c r="D8" s="14"/>
      <c r="E8" s="13"/>
      <c r="F8" s="13"/>
      <c r="G8" s="13"/>
      <c r="H8" s="13"/>
      <c r="I8" s="15"/>
      <c r="J8" s="13"/>
      <c r="K8" s="16" t="str">
        <f aca="false">IF(OR(F8="",G8="",H8=""),"",F8*G8*H8)</f>
        <v/>
      </c>
      <c r="L8" s="16" t="str">
        <f aca="false">IF(K8="","",K8/60*Paramètres!$C$4)</f>
        <v/>
      </c>
      <c r="M8" s="16" t="str">
        <f aca="false">IF(OR(L8="",I8=""),"",L8*I8)</f>
        <v/>
      </c>
      <c r="N8" s="17" t="str">
        <f aca="false">IF(OR(M8="",J8="",J8=0),"",M8/J8)</f>
        <v/>
      </c>
      <c r="O8" s="18" t="str">
        <f aca="false">IF(N8="","",IF(N8&gt;=Paramètres!$C$6,"Haute",IF(N8&gt;=Paramètres!$C$7,"Moyenne","Basse")))</f>
        <v/>
      </c>
    </row>
    <row r="9" customFormat="false" ht="15" hidden="false" customHeight="false" outlineLevel="0" collapsed="false">
      <c r="A9" s="12" t="n">
        <v>5</v>
      </c>
      <c r="B9" s="13"/>
      <c r="C9" s="13"/>
      <c r="D9" s="14"/>
      <c r="E9" s="13"/>
      <c r="F9" s="13"/>
      <c r="G9" s="13"/>
      <c r="H9" s="13"/>
      <c r="I9" s="15"/>
      <c r="J9" s="13"/>
      <c r="K9" s="16" t="str">
        <f aca="false">IF(OR(F9="",G9="",H9=""),"",F9*G9*H9)</f>
        <v/>
      </c>
      <c r="L9" s="16" t="str">
        <f aca="false">IF(K9="","",K9/60*Paramètres!$C$4)</f>
        <v/>
      </c>
      <c r="M9" s="16" t="str">
        <f aca="false">IF(OR(L9="",I9=""),"",L9*I9)</f>
        <v/>
      </c>
      <c r="N9" s="17" t="str">
        <f aca="false">IF(OR(M9="",J9="",J9=0),"",M9/J9)</f>
        <v/>
      </c>
      <c r="O9" s="18" t="str">
        <f aca="false">IF(N9="","",IF(N9&gt;=Paramètres!$C$6,"Haute",IF(N9&gt;=Paramètres!$C$7,"Moyenne","Basse")))</f>
        <v/>
      </c>
    </row>
    <row r="10" customFormat="false" ht="15" hidden="false" customHeight="false" outlineLevel="0" collapsed="false">
      <c r="A10" s="12" t="n">
        <v>6</v>
      </c>
      <c r="B10" s="13"/>
      <c r="C10" s="13"/>
      <c r="D10" s="14"/>
      <c r="E10" s="13"/>
      <c r="F10" s="13"/>
      <c r="G10" s="13"/>
      <c r="H10" s="13"/>
      <c r="I10" s="15"/>
      <c r="J10" s="13"/>
      <c r="K10" s="16" t="str">
        <f aca="false">IF(OR(F10="",G10="",H10=""),"",F10*G10*H10)</f>
        <v/>
      </c>
      <c r="L10" s="16" t="str">
        <f aca="false">IF(K10="","",K10/60*Paramètres!$C$4)</f>
        <v/>
      </c>
      <c r="M10" s="16" t="str">
        <f aca="false">IF(OR(L10="",I10=""),"",L10*I10)</f>
        <v/>
      </c>
      <c r="N10" s="17" t="str">
        <f aca="false">IF(OR(M10="",J10="",J10=0),"",M10/J10)</f>
        <v/>
      </c>
      <c r="O10" s="18" t="str">
        <f aca="false">IF(N10="","",IF(N10&gt;=Paramètres!$C$6,"Haute",IF(N10&gt;=Paramètres!$C$7,"Moyenne","Basse")))</f>
        <v/>
      </c>
    </row>
    <row r="11" customFormat="false" ht="15" hidden="false" customHeight="false" outlineLevel="0" collapsed="false">
      <c r="A11" s="12" t="n">
        <v>7</v>
      </c>
      <c r="B11" s="13"/>
      <c r="C11" s="13"/>
      <c r="D11" s="14"/>
      <c r="E11" s="13"/>
      <c r="F11" s="13"/>
      <c r="G11" s="13"/>
      <c r="H11" s="13"/>
      <c r="I11" s="15"/>
      <c r="J11" s="13"/>
      <c r="K11" s="16" t="str">
        <f aca="false">IF(OR(F11="",G11="",H11=""),"",F11*G11*H11)</f>
        <v/>
      </c>
      <c r="L11" s="16" t="str">
        <f aca="false">IF(K11="","",K11/60*Paramètres!$C$4)</f>
        <v/>
      </c>
      <c r="M11" s="16" t="str">
        <f aca="false">IF(OR(L11="",I11=""),"",L11*I11)</f>
        <v/>
      </c>
      <c r="N11" s="17" t="str">
        <f aca="false">IF(OR(M11="",J11="",J11=0),"",M11/J11)</f>
        <v/>
      </c>
      <c r="O11" s="18" t="str">
        <f aca="false">IF(N11="","",IF(N11&gt;=Paramètres!$C$6,"Haute",IF(N11&gt;=Paramètres!$C$7,"Moyenne","Basse")))</f>
        <v/>
      </c>
    </row>
    <row r="12" customFormat="false" ht="15" hidden="false" customHeight="false" outlineLevel="0" collapsed="false">
      <c r="A12" s="12" t="n">
        <v>8</v>
      </c>
      <c r="B12" s="13"/>
      <c r="C12" s="13"/>
      <c r="D12" s="14"/>
      <c r="E12" s="13"/>
      <c r="F12" s="13"/>
      <c r="G12" s="13"/>
      <c r="H12" s="13"/>
      <c r="I12" s="15"/>
      <c r="J12" s="13"/>
      <c r="K12" s="16" t="str">
        <f aca="false">IF(OR(F12="",G12="",H12=""),"",F12*G12*H12)</f>
        <v/>
      </c>
      <c r="L12" s="16" t="str">
        <f aca="false">IF(K12="","",K12/60*Paramètres!$C$4)</f>
        <v/>
      </c>
      <c r="M12" s="16" t="str">
        <f aca="false">IF(OR(L12="",I12=""),"",L12*I12)</f>
        <v/>
      </c>
      <c r="N12" s="17" t="str">
        <f aca="false">IF(OR(M12="",J12="",J12=0),"",M12/J12)</f>
        <v/>
      </c>
      <c r="O12" s="18" t="str">
        <f aca="false">IF(N12="","",IF(N12&gt;=Paramètres!$C$6,"Haute",IF(N12&gt;=Paramètres!$C$7,"Moyenne","Basse")))</f>
        <v/>
      </c>
    </row>
    <row r="13" customFormat="false" ht="15" hidden="false" customHeight="false" outlineLevel="0" collapsed="false">
      <c r="A13" s="12" t="n">
        <v>9</v>
      </c>
      <c r="B13" s="13"/>
      <c r="C13" s="13"/>
      <c r="D13" s="14"/>
      <c r="E13" s="13"/>
      <c r="F13" s="13"/>
      <c r="G13" s="13"/>
      <c r="H13" s="13"/>
      <c r="I13" s="15"/>
      <c r="J13" s="13"/>
      <c r="K13" s="16" t="str">
        <f aca="false">IF(OR(F13="",G13="",H13=""),"",F13*G13*H13)</f>
        <v/>
      </c>
      <c r="L13" s="16" t="str">
        <f aca="false">IF(K13="","",K13/60*Paramètres!$C$4)</f>
        <v/>
      </c>
      <c r="M13" s="16" t="str">
        <f aca="false">IF(OR(L13="",I13=""),"",L13*I13)</f>
        <v/>
      </c>
      <c r="N13" s="17" t="str">
        <f aca="false">IF(OR(M13="",J13="",J13=0),"",M13/J13)</f>
        <v/>
      </c>
      <c r="O13" s="18" t="str">
        <f aca="false">IF(N13="","",IF(N13&gt;=Paramètres!$C$6,"Haute",IF(N13&gt;=Paramètres!$C$7,"Moyenne","Basse")))</f>
        <v/>
      </c>
    </row>
    <row r="14" customFormat="false" ht="15" hidden="false" customHeight="false" outlineLevel="0" collapsed="false">
      <c r="A14" s="12" t="n">
        <v>10</v>
      </c>
      <c r="B14" s="13"/>
      <c r="C14" s="13"/>
      <c r="D14" s="14"/>
      <c r="E14" s="13"/>
      <c r="F14" s="13"/>
      <c r="G14" s="13"/>
      <c r="H14" s="13"/>
      <c r="I14" s="15"/>
      <c r="J14" s="13"/>
      <c r="K14" s="16" t="str">
        <f aca="false">IF(OR(F14="",G14="",H14=""),"",F14*G14*H14)</f>
        <v/>
      </c>
      <c r="L14" s="16" t="str">
        <f aca="false">IF(K14="","",K14/60*Paramètres!$C$4)</f>
        <v/>
      </c>
      <c r="M14" s="16" t="str">
        <f aca="false">IF(OR(L14="",I14=""),"",L14*I14)</f>
        <v/>
      </c>
      <c r="N14" s="17" t="str">
        <f aca="false">IF(OR(M14="",J14="",J14=0),"",M14/J14)</f>
        <v/>
      </c>
      <c r="O14" s="18" t="str">
        <f aca="false">IF(N14="","",IF(N14&gt;=Paramètres!$C$6,"Haute",IF(N14&gt;=Paramètres!$C$7,"Moyenne","Basse")))</f>
        <v/>
      </c>
    </row>
    <row r="15" customFormat="false" ht="15" hidden="false" customHeight="false" outlineLevel="0" collapsed="false">
      <c r="A15" s="12" t="n">
        <v>11</v>
      </c>
      <c r="B15" s="13"/>
      <c r="C15" s="13"/>
      <c r="D15" s="14"/>
      <c r="E15" s="13"/>
      <c r="F15" s="13"/>
      <c r="G15" s="13"/>
      <c r="H15" s="13"/>
      <c r="I15" s="15"/>
      <c r="J15" s="13"/>
      <c r="K15" s="16" t="str">
        <f aca="false">IF(OR(F15="",G15="",H15=""),"",F15*G15*H15)</f>
        <v/>
      </c>
      <c r="L15" s="16" t="str">
        <f aca="false">IF(K15="","",K15/60*Paramètres!$C$4)</f>
        <v/>
      </c>
      <c r="M15" s="16" t="str">
        <f aca="false">IF(OR(L15="",I15=""),"",L15*I15)</f>
        <v/>
      </c>
      <c r="N15" s="17" t="str">
        <f aca="false">IF(OR(M15="",J15="",J15=0),"",M15/J15)</f>
        <v/>
      </c>
      <c r="O15" s="18" t="str">
        <f aca="false">IF(N15="","",IF(N15&gt;=Paramètres!$C$6,"Haute",IF(N15&gt;=Paramètres!$C$7,"Moyenne","Basse")))</f>
        <v/>
      </c>
    </row>
    <row r="16" customFormat="false" ht="15" hidden="false" customHeight="false" outlineLevel="0" collapsed="false">
      <c r="A16" s="12" t="n">
        <v>12</v>
      </c>
      <c r="B16" s="13"/>
      <c r="C16" s="13"/>
      <c r="D16" s="14"/>
      <c r="E16" s="13"/>
      <c r="F16" s="13"/>
      <c r="G16" s="13"/>
      <c r="H16" s="13"/>
      <c r="I16" s="15"/>
      <c r="J16" s="13"/>
      <c r="K16" s="16" t="str">
        <f aca="false">IF(OR(F16="",G16="",H16=""),"",F16*G16*H16)</f>
        <v/>
      </c>
      <c r="L16" s="16" t="str">
        <f aca="false">IF(K16="","",K16/60*Paramètres!$C$4)</f>
        <v/>
      </c>
      <c r="M16" s="16" t="str">
        <f aca="false">IF(OR(L16="",I16=""),"",L16*I16)</f>
        <v/>
      </c>
      <c r="N16" s="17" t="str">
        <f aca="false">IF(OR(M16="",J16="",J16=0),"",M16/J16)</f>
        <v/>
      </c>
      <c r="O16" s="18" t="str">
        <f aca="false">IF(N16="","",IF(N16&gt;=Paramètres!$C$6,"Haute",IF(N16&gt;=Paramètres!$C$7,"Moyenne","Basse")))</f>
        <v/>
      </c>
    </row>
    <row r="17" customFormat="false" ht="15" hidden="false" customHeight="false" outlineLevel="0" collapsed="false">
      <c r="A17" s="12" t="n">
        <v>13</v>
      </c>
      <c r="B17" s="13"/>
      <c r="C17" s="13"/>
      <c r="D17" s="14"/>
      <c r="E17" s="13"/>
      <c r="F17" s="13"/>
      <c r="G17" s="13"/>
      <c r="H17" s="13"/>
      <c r="I17" s="15"/>
      <c r="J17" s="13"/>
      <c r="K17" s="16" t="str">
        <f aca="false">IF(OR(F17="",G17="",H17=""),"",F17*G17*H17)</f>
        <v/>
      </c>
      <c r="L17" s="16" t="str">
        <f aca="false">IF(K17="","",K17/60*Paramètres!$C$4)</f>
        <v/>
      </c>
      <c r="M17" s="16" t="str">
        <f aca="false">IF(OR(L17="",I17=""),"",L17*I17)</f>
        <v/>
      </c>
      <c r="N17" s="17" t="str">
        <f aca="false">IF(OR(M17="",J17="",J17=0),"",M17/J17)</f>
        <v/>
      </c>
      <c r="O17" s="18" t="str">
        <f aca="false">IF(N17="","",IF(N17&gt;=Paramètres!$C$6,"Haute",IF(N17&gt;=Paramètres!$C$7,"Moyenne","Basse")))</f>
        <v/>
      </c>
    </row>
    <row r="18" customFormat="false" ht="15" hidden="false" customHeight="false" outlineLevel="0" collapsed="false">
      <c r="A18" s="12" t="n">
        <v>14</v>
      </c>
      <c r="B18" s="13"/>
      <c r="C18" s="13"/>
      <c r="D18" s="14"/>
      <c r="E18" s="13"/>
      <c r="F18" s="13"/>
      <c r="G18" s="13"/>
      <c r="H18" s="13"/>
      <c r="I18" s="15"/>
      <c r="J18" s="13"/>
      <c r="K18" s="16" t="str">
        <f aca="false">IF(OR(F18="",G18="",H18=""),"",F18*G18*H18)</f>
        <v/>
      </c>
      <c r="L18" s="16" t="str">
        <f aca="false">IF(K18="","",K18/60*Paramètres!$C$4)</f>
        <v/>
      </c>
      <c r="M18" s="16" t="str">
        <f aca="false">IF(OR(L18="",I18=""),"",L18*I18)</f>
        <v/>
      </c>
      <c r="N18" s="17" t="str">
        <f aca="false">IF(OR(M18="",J18="",J18=0),"",M18/J18)</f>
        <v/>
      </c>
      <c r="O18" s="18" t="str">
        <f aca="false">IF(N18="","",IF(N18&gt;=Paramètres!$C$6,"Haute",IF(N18&gt;=Paramètres!$C$7,"Moyenne","Basse")))</f>
        <v/>
      </c>
    </row>
    <row r="19" customFormat="false" ht="15" hidden="false" customHeight="false" outlineLevel="0" collapsed="false">
      <c r="A19" s="12" t="n">
        <v>15</v>
      </c>
      <c r="B19" s="13"/>
      <c r="C19" s="13"/>
      <c r="D19" s="14"/>
      <c r="E19" s="13"/>
      <c r="F19" s="13"/>
      <c r="G19" s="13"/>
      <c r="H19" s="13"/>
      <c r="I19" s="15"/>
      <c r="J19" s="13"/>
      <c r="K19" s="16" t="str">
        <f aca="false">IF(OR(F19="",G19="",H19=""),"",F19*G19*H19)</f>
        <v/>
      </c>
      <c r="L19" s="16" t="str">
        <f aca="false">IF(K19="","",K19/60*Paramètres!$C$4)</f>
        <v/>
      </c>
      <c r="M19" s="16" t="str">
        <f aca="false">IF(OR(L19="",I19=""),"",L19*I19)</f>
        <v/>
      </c>
      <c r="N19" s="17" t="str">
        <f aca="false">IF(OR(M19="",J19="",J19=0),"",M19/J19)</f>
        <v/>
      </c>
      <c r="O19" s="18" t="str">
        <f aca="false">IF(N19="","",IF(N19&gt;=Paramètres!$C$6,"Haute",IF(N19&gt;=Paramètres!$C$7,"Moyenne","Basse")))</f>
        <v/>
      </c>
    </row>
    <row r="20" customFormat="false" ht="15" hidden="false" customHeight="false" outlineLevel="0" collapsed="false">
      <c r="A20" s="12" t="n">
        <v>16</v>
      </c>
      <c r="B20" s="13"/>
      <c r="C20" s="13"/>
      <c r="D20" s="14"/>
      <c r="E20" s="13"/>
      <c r="F20" s="13"/>
      <c r="G20" s="13"/>
      <c r="H20" s="13"/>
      <c r="I20" s="15"/>
      <c r="J20" s="13"/>
      <c r="K20" s="16" t="str">
        <f aca="false">IF(OR(F20="",G20="",H20=""),"",F20*G20*H20)</f>
        <v/>
      </c>
      <c r="L20" s="16" t="str">
        <f aca="false">IF(K20="","",K20/60*Paramètres!$C$4)</f>
        <v/>
      </c>
      <c r="M20" s="16" t="str">
        <f aca="false">IF(OR(L20="",I20=""),"",L20*I20)</f>
        <v/>
      </c>
      <c r="N20" s="17" t="str">
        <f aca="false">IF(OR(M20="",J20="",J20=0),"",M20/J20)</f>
        <v/>
      </c>
      <c r="O20" s="18" t="str">
        <f aca="false">IF(N20="","",IF(N20&gt;=Paramètres!$C$6,"Haute",IF(N20&gt;=Paramètres!$C$7,"Moyenne","Basse")))</f>
        <v/>
      </c>
    </row>
    <row r="21" customFormat="false" ht="15" hidden="false" customHeight="false" outlineLevel="0" collapsed="false">
      <c r="A21" s="12" t="n">
        <v>17</v>
      </c>
      <c r="B21" s="13"/>
      <c r="C21" s="13"/>
      <c r="D21" s="14"/>
      <c r="E21" s="13"/>
      <c r="F21" s="13"/>
      <c r="G21" s="13"/>
      <c r="H21" s="13"/>
      <c r="I21" s="15"/>
      <c r="J21" s="13"/>
      <c r="K21" s="16" t="str">
        <f aca="false">IF(OR(F21="",G21="",H21=""),"",F21*G21*H21)</f>
        <v/>
      </c>
      <c r="L21" s="16" t="str">
        <f aca="false">IF(K21="","",K21/60*Paramètres!$C$4)</f>
        <v/>
      </c>
      <c r="M21" s="16" t="str">
        <f aca="false">IF(OR(L21="",I21=""),"",L21*I21)</f>
        <v/>
      </c>
      <c r="N21" s="17" t="str">
        <f aca="false">IF(OR(M21="",J21="",J21=0),"",M21/J21)</f>
        <v/>
      </c>
      <c r="O21" s="18" t="str">
        <f aca="false">IF(N21="","",IF(N21&gt;=Paramètres!$C$6,"Haute",IF(N21&gt;=Paramètres!$C$7,"Moyenne","Basse")))</f>
        <v/>
      </c>
    </row>
    <row r="22" customFormat="false" ht="15" hidden="false" customHeight="false" outlineLevel="0" collapsed="false">
      <c r="A22" s="12" t="n">
        <v>18</v>
      </c>
      <c r="B22" s="13"/>
      <c r="C22" s="13"/>
      <c r="D22" s="14"/>
      <c r="E22" s="13"/>
      <c r="F22" s="13"/>
      <c r="G22" s="13"/>
      <c r="H22" s="13"/>
      <c r="I22" s="15"/>
      <c r="J22" s="13"/>
      <c r="K22" s="16" t="str">
        <f aca="false">IF(OR(F22="",G22="",H22=""),"",F22*G22*H22)</f>
        <v/>
      </c>
      <c r="L22" s="16" t="str">
        <f aca="false">IF(K22="","",K22/60*Paramètres!$C$4)</f>
        <v/>
      </c>
      <c r="M22" s="16" t="str">
        <f aca="false">IF(OR(L22="",I22=""),"",L22*I22)</f>
        <v/>
      </c>
      <c r="N22" s="17" t="str">
        <f aca="false">IF(OR(M22="",J22="",J22=0),"",M22/J22)</f>
        <v/>
      </c>
      <c r="O22" s="18" t="str">
        <f aca="false">IF(N22="","",IF(N22&gt;=Paramètres!$C$6,"Haute",IF(N22&gt;=Paramètres!$C$7,"Moyenne","Basse")))</f>
        <v/>
      </c>
    </row>
    <row r="23" customFormat="false" ht="15" hidden="false" customHeight="false" outlineLevel="0" collapsed="false">
      <c r="A23" s="12" t="n">
        <v>19</v>
      </c>
      <c r="B23" s="13"/>
      <c r="C23" s="13"/>
      <c r="D23" s="14"/>
      <c r="E23" s="13"/>
      <c r="F23" s="13"/>
      <c r="G23" s="13"/>
      <c r="H23" s="13"/>
      <c r="I23" s="15"/>
      <c r="J23" s="13"/>
      <c r="K23" s="16" t="str">
        <f aca="false">IF(OR(F23="",G23="",H23=""),"",F23*G23*H23)</f>
        <v/>
      </c>
      <c r="L23" s="16" t="str">
        <f aca="false">IF(K23="","",K23/60*Paramètres!$C$4)</f>
        <v/>
      </c>
      <c r="M23" s="16" t="str">
        <f aca="false">IF(OR(L23="",I23=""),"",L23*I23)</f>
        <v/>
      </c>
      <c r="N23" s="17" t="str">
        <f aca="false">IF(OR(M23="",J23="",J23=0),"",M23/J23)</f>
        <v/>
      </c>
      <c r="O23" s="18" t="str">
        <f aca="false">IF(N23="","",IF(N23&gt;=Paramètres!$C$6,"Haute",IF(N23&gt;=Paramètres!$C$7,"Moyenne","Basse")))</f>
        <v/>
      </c>
    </row>
    <row r="24" customFormat="false" ht="15" hidden="false" customHeight="false" outlineLevel="0" collapsed="false">
      <c r="A24" s="12" t="n">
        <v>20</v>
      </c>
      <c r="B24" s="13"/>
      <c r="C24" s="13"/>
      <c r="D24" s="14"/>
      <c r="E24" s="13"/>
      <c r="F24" s="13"/>
      <c r="G24" s="13"/>
      <c r="H24" s="13"/>
      <c r="I24" s="15"/>
      <c r="J24" s="13"/>
      <c r="K24" s="16" t="str">
        <f aca="false">IF(OR(F24="",G24="",H24=""),"",F24*G24*H24)</f>
        <v/>
      </c>
      <c r="L24" s="16" t="str">
        <f aca="false">IF(K24="","",K24/60*Paramètres!$C$4)</f>
        <v/>
      </c>
      <c r="M24" s="16" t="str">
        <f aca="false">IF(OR(L24="",I24=""),"",L24*I24)</f>
        <v/>
      </c>
      <c r="N24" s="17" t="str">
        <f aca="false">IF(OR(M24="",J24="",J24=0),"",M24/J24)</f>
        <v/>
      </c>
      <c r="O24" s="18" t="str">
        <f aca="false">IF(N24="","",IF(N24&gt;=Paramètres!$C$6,"Haute",IF(N24&gt;=Paramètres!$C$7,"Moyenne","Basse")))</f>
        <v/>
      </c>
    </row>
    <row r="25" customFormat="false" ht="15" hidden="false" customHeight="false" outlineLevel="0" collapsed="false">
      <c r="A25" s="12" t="n">
        <v>21</v>
      </c>
      <c r="B25" s="13"/>
      <c r="C25" s="13"/>
      <c r="D25" s="14"/>
      <c r="E25" s="13"/>
      <c r="F25" s="13"/>
      <c r="G25" s="13"/>
      <c r="H25" s="13"/>
      <c r="I25" s="15"/>
      <c r="J25" s="13"/>
      <c r="K25" s="16" t="str">
        <f aca="false">IF(OR(F25="",G25="",H25=""),"",F25*G25*H25)</f>
        <v/>
      </c>
      <c r="L25" s="16" t="str">
        <f aca="false">IF(K25="","",K25/60*Paramètres!$C$4)</f>
        <v/>
      </c>
      <c r="M25" s="16" t="str">
        <f aca="false">IF(OR(L25="",I25=""),"",L25*I25)</f>
        <v/>
      </c>
      <c r="N25" s="17" t="str">
        <f aca="false">IF(OR(M25="",J25="",J25=0),"",M25/J25)</f>
        <v/>
      </c>
      <c r="O25" s="18" t="str">
        <f aca="false">IF(N25="","",IF(N25&gt;=Paramètres!$C$6,"Haute",IF(N25&gt;=Paramètres!$C$7,"Moyenne","Basse")))</f>
        <v/>
      </c>
    </row>
    <row r="26" customFormat="false" ht="15" hidden="false" customHeight="false" outlineLevel="0" collapsed="false">
      <c r="A26" s="12" t="n">
        <v>22</v>
      </c>
      <c r="B26" s="13"/>
      <c r="C26" s="13"/>
      <c r="D26" s="14"/>
      <c r="E26" s="13"/>
      <c r="F26" s="13"/>
      <c r="G26" s="13"/>
      <c r="H26" s="13"/>
      <c r="I26" s="15"/>
      <c r="J26" s="13"/>
      <c r="K26" s="16" t="str">
        <f aca="false">IF(OR(F26="",G26="",H26=""),"",F26*G26*H26)</f>
        <v/>
      </c>
      <c r="L26" s="16" t="str">
        <f aca="false">IF(K26="","",K26/60*Paramètres!$C$4)</f>
        <v/>
      </c>
      <c r="M26" s="16" t="str">
        <f aca="false">IF(OR(L26="",I26=""),"",L26*I26)</f>
        <v/>
      </c>
      <c r="N26" s="17" t="str">
        <f aca="false">IF(OR(M26="",J26="",J26=0),"",M26/J26)</f>
        <v/>
      </c>
      <c r="O26" s="18" t="str">
        <f aca="false">IF(N26="","",IF(N26&gt;=Paramètres!$C$6,"Haute",IF(N26&gt;=Paramètres!$C$7,"Moyenne","Basse")))</f>
        <v/>
      </c>
    </row>
    <row r="27" customFormat="false" ht="15" hidden="false" customHeight="false" outlineLevel="0" collapsed="false">
      <c r="A27" s="12" t="n">
        <v>23</v>
      </c>
      <c r="B27" s="13"/>
      <c r="C27" s="13"/>
      <c r="D27" s="14"/>
      <c r="E27" s="13"/>
      <c r="F27" s="13"/>
      <c r="G27" s="13"/>
      <c r="H27" s="13"/>
      <c r="I27" s="15"/>
      <c r="J27" s="13"/>
      <c r="K27" s="16" t="str">
        <f aca="false">IF(OR(F27="",G27="",H27=""),"",F27*G27*H27)</f>
        <v/>
      </c>
      <c r="L27" s="16" t="str">
        <f aca="false">IF(K27="","",K27/60*Paramètres!$C$4)</f>
        <v/>
      </c>
      <c r="M27" s="16" t="str">
        <f aca="false">IF(OR(L27="",I27=""),"",L27*I27)</f>
        <v/>
      </c>
      <c r="N27" s="17" t="str">
        <f aca="false">IF(OR(M27="",J27="",J27=0),"",M27/J27)</f>
        <v/>
      </c>
      <c r="O27" s="18" t="str">
        <f aca="false">IF(N27="","",IF(N27&gt;=Paramètres!$C$6,"Haute",IF(N27&gt;=Paramètres!$C$7,"Moyenne","Basse")))</f>
        <v/>
      </c>
    </row>
    <row r="28" customFormat="false" ht="15" hidden="false" customHeight="false" outlineLevel="0" collapsed="false">
      <c r="A28" s="12" t="n">
        <v>24</v>
      </c>
      <c r="B28" s="13"/>
      <c r="C28" s="13"/>
      <c r="D28" s="14"/>
      <c r="E28" s="13"/>
      <c r="F28" s="13"/>
      <c r="G28" s="13"/>
      <c r="H28" s="13"/>
      <c r="I28" s="15"/>
      <c r="J28" s="13"/>
      <c r="K28" s="16" t="str">
        <f aca="false">IF(OR(F28="",G28="",H28=""),"",F28*G28*H28)</f>
        <v/>
      </c>
      <c r="L28" s="16" t="str">
        <f aca="false">IF(K28="","",K28/60*Paramètres!$C$4)</f>
        <v/>
      </c>
      <c r="M28" s="16" t="str">
        <f aca="false">IF(OR(L28="",I28=""),"",L28*I28)</f>
        <v/>
      </c>
      <c r="N28" s="17" t="str">
        <f aca="false">IF(OR(M28="",J28="",J28=0),"",M28/J28)</f>
        <v/>
      </c>
      <c r="O28" s="18" t="str">
        <f aca="false">IF(N28="","",IF(N28&gt;=Paramètres!$C$6,"Haute",IF(N28&gt;=Paramètres!$C$7,"Moyenne","Basse")))</f>
        <v/>
      </c>
    </row>
    <row r="29" customFormat="false" ht="15" hidden="false" customHeight="false" outlineLevel="0" collapsed="false">
      <c r="A29" s="12" t="n">
        <v>25</v>
      </c>
      <c r="B29" s="13"/>
      <c r="C29" s="13"/>
      <c r="D29" s="14"/>
      <c r="E29" s="13"/>
      <c r="F29" s="13"/>
      <c r="G29" s="13"/>
      <c r="H29" s="13"/>
      <c r="I29" s="15"/>
      <c r="J29" s="13"/>
      <c r="K29" s="16" t="str">
        <f aca="false">IF(OR(F29="",G29="",H29=""),"",F29*G29*H29)</f>
        <v/>
      </c>
      <c r="L29" s="16" t="str">
        <f aca="false">IF(K29="","",K29/60*Paramètres!$C$4)</f>
        <v/>
      </c>
      <c r="M29" s="16" t="str">
        <f aca="false">IF(OR(L29="",I29=""),"",L29*I29)</f>
        <v/>
      </c>
      <c r="N29" s="17" t="str">
        <f aca="false">IF(OR(M29="",J29="",J29=0),"",M29/J29)</f>
        <v/>
      </c>
      <c r="O29" s="18" t="str">
        <f aca="false">IF(N29="","",IF(N29&gt;=Paramètres!$C$6,"Haute",IF(N29&gt;=Paramètres!$C$7,"Moyenne","Basse")))</f>
        <v/>
      </c>
    </row>
    <row r="30" customFormat="false" ht="15" hidden="false" customHeight="false" outlineLevel="0" collapsed="false">
      <c r="A30" s="12" t="n">
        <v>26</v>
      </c>
      <c r="B30" s="13"/>
      <c r="C30" s="13"/>
      <c r="D30" s="14"/>
      <c r="E30" s="13"/>
      <c r="F30" s="13"/>
      <c r="G30" s="13"/>
      <c r="H30" s="13"/>
      <c r="I30" s="15"/>
      <c r="J30" s="13"/>
      <c r="K30" s="16" t="str">
        <f aca="false">IF(OR(F30="",G30="",H30=""),"",F30*G30*H30)</f>
        <v/>
      </c>
      <c r="L30" s="16" t="str">
        <f aca="false">IF(K30="","",K30/60*Paramètres!$C$4)</f>
        <v/>
      </c>
      <c r="M30" s="16" t="str">
        <f aca="false">IF(OR(L30="",I30=""),"",L30*I30)</f>
        <v/>
      </c>
      <c r="N30" s="17" t="str">
        <f aca="false">IF(OR(M30="",J30="",J30=0),"",M30/J30)</f>
        <v/>
      </c>
      <c r="O30" s="18" t="str">
        <f aca="false">IF(N30="","",IF(N30&gt;=Paramètres!$C$6,"Haute",IF(N30&gt;=Paramètres!$C$7,"Moyenne","Basse")))</f>
        <v/>
      </c>
    </row>
    <row r="31" customFormat="false" ht="15" hidden="false" customHeight="false" outlineLevel="0" collapsed="false">
      <c r="A31" s="12" t="n">
        <v>27</v>
      </c>
      <c r="B31" s="13"/>
      <c r="C31" s="13"/>
      <c r="D31" s="14"/>
      <c r="E31" s="13"/>
      <c r="F31" s="13"/>
      <c r="G31" s="13"/>
      <c r="H31" s="13"/>
      <c r="I31" s="15"/>
      <c r="J31" s="13"/>
      <c r="K31" s="16" t="str">
        <f aca="false">IF(OR(F31="",G31="",H31=""),"",F31*G31*H31)</f>
        <v/>
      </c>
      <c r="L31" s="16" t="str">
        <f aca="false">IF(K31="","",K31/60*Paramètres!$C$4)</f>
        <v/>
      </c>
      <c r="M31" s="16" t="str">
        <f aca="false">IF(OR(L31="",I31=""),"",L31*I31)</f>
        <v/>
      </c>
      <c r="N31" s="17" t="str">
        <f aca="false">IF(OR(M31="",J31="",J31=0),"",M31/J31)</f>
        <v/>
      </c>
      <c r="O31" s="18" t="str">
        <f aca="false">IF(N31="","",IF(N31&gt;=Paramètres!$C$6,"Haute",IF(N31&gt;=Paramètres!$C$7,"Moyenne","Basse")))</f>
        <v/>
      </c>
    </row>
    <row r="32" customFormat="false" ht="15" hidden="false" customHeight="false" outlineLevel="0" collapsed="false">
      <c r="A32" s="12" t="n">
        <v>28</v>
      </c>
      <c r="B32" s="13"/>
      <c r="C32" s="13"/>
      <c r="D32" s="14"/>
      <c r="E32" s="13"/>
      <c r="F32" s="13"/>
      <c r="G32" s="13"/>
      <c r="H32" s="13"/>
      <c r="I32" s="15"/>
      <c r="J32" s="13"/>
      <c r="K32" s="16" t="str">
        <f aca="false">IF(OR(F32="",G32="",H32=""),"",F32*G32*H32)</f>
        <v/>
      </c>
      <c r="L32" s="16" t="str">
        <f aca="false">IF(K32="","",K32/60*Paramètres!$C$4)</f>
        <v/>
      </c>
      <c r="M32" s="16" t="str">
        <f aca="false">IF(OR(L32="",I32=""),"",L32*I32)</f>
        <v/>
      </c>
      <c r="N32" s="17" t="str">
        <f aca="false">IF(OR(M32="",J32="",J32=0),"",M32/J32)</f>
        <v/>
      </c>
      <c r="O32" s="18" t="str">
        <f aca="false">IF(N32="","",IF(N32&gt;=Paramètres!$C$6,"Haute",IF(N32&gt;=Paramètres!$C$7,"Moyenne","Basse")))</f>
        <v/>
      </c>
    </row>
    <row r="33" customFormat="false" ht="15" hidden="false" customHeight="false" outlineLevel="0" collapsed="false">
      <c r="A33" s="12" t="n">
        <v>29</v>
      </c>
      <c r="B33" s="13"/>
      <c r="C33" s="13"/>
      <c r="D33" s="14"/>
      <c r="E33" s="13"/>
      <c r="F33" s="13"/>
      <c r="G33" s="13"/>
      <c r="H33" s="13"/>
      <c r="I33" s="15"/>
      <c r="J33" s="13"/>
      <c r="K33" s="16" t="str">
        <f aca="false">IF(OR(F33="",G33="",H33=""),"",F33*G33*H33)</f>
        <v/>
      </c>
      <c r="L33" s="16" t="str">
        <f aca="false">IF(K33="","",K33/60*Paramètres!$C$4)</f>
        <v/>
      </c>
      <c r="M33" s="16" t="str">
        <f aca="false">IF(OR(L33="",I33=""),"",L33*I33)</f>
        <v/>
      </c>
      <c r="N33" s="17" t="str">
        <f aca="false">IF(OR(M33="",J33="",J33=0),"",M33/J33)</f>
        <v/>
      </c>
      <c r="O33" s="18" t="str">
        <f aca="false">IF(N33="","",IF(N33&gt;=Paramètres!$C$6,"Haute",IF(N33&gt;=Paramètres!$C$7,"Moyenne","Basse")))</f>
        <v/>
      </c>
    </row>
    <row r="34" customFormat="false" ht="15" hidden="false" customHeight="false" outlineLevel="0" collapsed="false">
      <c r="A34" s="12" t="n">
        <v>30</v>
      </c>
      <c r="B34" s="13"/>
      <c r="C34" s="13"/>
      <c r="D34" s="14"/>
      <c r="E34" s="13"/>
      <c r="F34" s="13"/>
      <c r="G34" s="13"/>
      <c r="H34" s="13"/>
      <c r="I34" s="15"/>
      <c r="J34" s="13"/>
      <c r="K34" s="16" t="str">
        <f aca="false">IF(OR(F34="",G34="",H34=""),"",F34*G34*H34)</f>
        <v/>
      </c>
      <c r="L34" s="16" t="str">
        <f aca="false">IF(K34="","",K34/60*Paramètres!$C$4)</f>
        <v/>
      </c>
      <c r="M34" s="16" t="str">
        <f aca="false">IF(OR(L34="",I34=""),"",L34*I34)</f>
        <v/>
      </c>
      <c r="N34" s="17" t="str">
        <f aca="false">IF(OR(M34="",J34="",J34=0),"",M34/J34)</f>
        <v/>
      </c>
      <c r="O34" s="18" t="str">
        <f aca="false">IF(N34="","",IF(N34&gt;=Paramètres!$C$6,"Haute",IF(N34&gt;=Paramètres!$C$7,"Moyenne","Basse")))</f>
        <v/>
      </c>
    </row>
    <row r="35" customFormat="false" ht="15" hidden="false" customHeight="false" outlineLevel="0" collapsed="false">
      <c r="A35" s="12" t="n">
        <v>31</v>
      </c>
      <c r="B35" s="13"/>
      <c r="C35" s="13"/>
      <c r="D35" s="14"/>
      <c r="E35" s="13"/>
      <c r="F35" s="13"/>
      <c r="G35" s="13"/>
      <c r="H35" s="13"/>
      <c r="I35" s="15"/>
      <c r="J35" s="13"/>
      <c r="K35" s="16" t="str">
        <f aca="false">IF(OR(F35="",G35="",H35=""),"",F35*G35*H35)</f>
        <v/>
      </c>
      <c r="L35" s="16" t="str">
        <f aca="false">IF(K35="","",K35/60*Paramètres!$C$4)</f>
        <v/>
      </c>
      <c r="M35" s="16" t="str">
        <f aca="false">IF(OR(L35="",I35=""),"",L35*I35)</f>
        <v/>
      </c>
      <c r="N35" s="17" t="str">
        <f aca="false">IF(OR(M35="",J35="",J35=0),"",M35/J35)</f>
        <v/>
      </c>
      <c r="O35" s="18" t="str">
        <f aca="false">IF(N35="","",IF(N35&gt;=Paramètres!$C$6,"Haute",IF(N35&gt;=Paramètres!$C$7,"Moyenne","Basse")))</f>
        <v/>
      </c>
    </row>
    <row r="36" customFormat="false" ht="15" hidden="false" customHeight="false" outlineLevel="0" collapsed="false">
      <c r="A36" s="12" t="n">
        <v>32</v>
      </c>
      <c r="B36" s="13"/>
      <c r="C36" s="13"/>
      <c r="D36" s="14"/>
      <c r="E36" s="13"/>
      <c r="F36" s="13"/>
      <c r="G36" s="13"/>
      <c r="H36" s="13"/>
      <c r="I36" s="15"/>
      <c r="J36" s="13"/>
      <c r="K36" s="16" t="str">
        <f aca="false">IF(OR(F36="",G36="",H36=""),"",F36*G36*H36)</f>
        <v/>
      </c>
      <c r="L36" s="16" t="str">
        <f aca="false">IF(K36="","",K36/60*Paramètres!$C$4)</f>
        <v/>
      </c>
      <c r="M36" s="16" t="str">
        <f aca="false">IF(OR(L36="",I36=""),"",L36*I36)</f>
        <v/>
      </c>
      <c r="N36" s="17" t="str">
        <f aca="false">IF(OR(M36="",J36="",J36=0),"",M36/J36)</f>
        <v/>
      </c>
      <c r="O36" s="18" t="str">
        <f aca="false">IF(N36="","",IF(N36&gt;=Paramètres!$C$6,"Haute",IF(N36&gt;=Paramètres!$C$7,"Moyenne","Basse")))</f>
        <v/>
      </c>
    </row>
    <row r="37" customFormat="false" ht="15" hidden="false" customHeight="false" outlineLevel="0" collapsed="false">
      <c r="A37" s="12" t="n">
        <v>33</v>
      </c>
      <c r="B37" s="13"/>
      <c r="C37" s="13"/>
      <c r="D37" s="14"/>
      <c r="E37" s="13"/>
      <c r="F37" s="13"/>
      <c r="G37" s="13"/>
      <c r="H37" s="13"/>
      <c r="I37" s="15"/>
      <c r="J37" s="13"/>
      <c r="K37" s="16" t="str">
        <f aca="false">IF(OR(F37="",G37="",H37=""),"",F37*G37*H37)</f>
        <v/>
      </c>
      <c r="L37" s="16" t="str">
        <f aca="false">IF(K37="","",K37/60*Paramètres!$C$4)</f>
        <v/>
      </c>
      <c r="M37" s="16" t="str">
        <f aca="false">IF(OR(L37="",I37=""),"",L37*I37)</f>
        <v/>
      </c>
      <c r="N37" s="17" t="str">
        <f aca="false">IF(OR(M37="",J37="",J37=0),"",M37/J37)</f>
        <v/>
      </c>
      <c r="O37" s="18" t="str">
        <f aca="false">IF(N37="","",IF(N37&gt;=Paramètres!$C$6,"Haute",IF(N37&gt;=Paramètres!$C$7,"Moyenne","Basse")))</f>
        <v/>
      </c>
    </row>
    <row r="38" customFormat="false" ht="15" hidden="false" customHeight="false" outlineLevel="0" collapsed="false">
      <c r="A38" s="12" t="n">
        <v>34</v>
      </c>
      <c r="B38" s="13"/>
      <c r="C38" s="13"/>
      <c r="D38" s="14"/>
      <c r="E38" s="13"/>
      <c r="F38" s="13"/>
      <c r="G38" s="13"/>
      <c r="H38" s="13"/>
      <c r="I38" s="15"/>
      <c r="J38" s="13"/>
      <c r="K38" s="16" t="str">
        <f aca="false">IF(OR(F38="",G38="",H38=""),"",F38*G38*H38)</f>
        <v/>
      </c>
      <c r="L38" s="16" t="str">
        <f aca="false">IF(K38="","",K38/60*Paramètres!$C$4)</f>
        <v/>
      </c>
      <c r="M38" s="16" t="str">
        <f aca="false">IF(OR(L38="",I38=""),"",L38*I38)</f>
        <v/>
      </c>
      <c r="N38" s="17" t="str">
        <f aca="false">IF(OR(M38="",J38="",J38=0),"",M38/J38)</f>
        <v/>
      </c>
      <c r="O38" s="18" t="str">
        <f aca="false">IF(N38="","",IF(N38&gt;=Paramètres!$C$6,"Haute",IF(N38&gt;=Paramètres!$C$7,"Moyenne","Basse")))</f>
        <v/>
      </c>
    </row>
    <row r="39" customFormat="false" ht="15" hidden="false" customHeight="false" outlineLevel="0" collapsed="false">
      <c r="A39" s="12" t="n">
        <v>35</v>
      </c>
      <c r="B39" s="13"/>
      <c r="C39" s="13"/>
      <c r="D39" s="14"/>
      <c r="E39" s="13"/>
      <c r="F39" s="13"/>
      <c r="G39" s="13"/>
      <c r="H39" s="13"/>
      <c r="I39" s="15"/>
      <c r="J39" s="13"/>
      <c r="K39" s="16" t="str">
        <f aca="false">IF(OR(F39="",G39="",H39=""),"",F39*G39*H39)</f>
        <v/>
      </c>
      <c r="L39" s="16" t="str">
        <f aca="false">IF(K39="","",K39/60*Paramètres!$C$4)</f>
        <v/>
      </c>
      <c r="M39" s="16" t="str">
        <f aca="false">IF(OR(L39="",I39=""),"",L39*I39)</f>
        <v/>
      </c>
      <c r="N39" s="17" t="str">
        <f aca="false">IF(OR(M39="",J39="",J39=0),"",M39/J39)</f>
        <v/>
      </c>
      <c r="O39" s="18" t="str">
        <f aca="false">IF(N39="","",IF(N39&gt;=Paramètres!$C$6,"Haute",IF(N39&gt;=Paramètres!$C$7,"Moyenne","Basse")))</f>
        <v/>
      </c>
    </row>
    <row r="40" customFormat="false" ht="15" hidden="false" customHeight="false" outlineLevel="0" collapsed="false">
      <c r="A40" s="12" t="n">
        <v>36</v>
      </c>
      <c r="B40" s="13"/>
      <c r="C40" s="13"/>
      <c r="D40" s="14"/>
      <c r="E40" s="13"/>
      <c r="F40" s="13"/>
      <c r="G40" s="13"/>
      <c r="H40" s="13"/>
      <c r="I40" s="15"/>
      <c r="J40" s="13"/>
      <c r="K40" s="16" t="str">
        <f aca="false">IF(OR(F40="",G40="",H40=""),"",F40*G40*H40)</f>
        <v/>
      </c>
      <c r="L40" s="16" t="str">
        <f aca="false">IF(K40="","",K40/60*Paramètres!$C$4)</f>
        <v/>
      </c>
      <c r="M40" s="16" t="str">
        <f aca="false">IF(OR(L40="",I40=""),"",L40*I40)</f>
        <v/>
      </c>
      <c r="N40" s="17" t="str">
        <f aca="false">IF(OR(M40="",J40="",J40=0),"",M40/J40)</f>
        <v/>
      </c>
      <c r="O40" s="18" t="str">
        <f aca="false">IF(N40="","",IF(N40&gt;=Paramètres!$C$6,"Haute",IF(N40&gt;=Paramètres!$C$7,"Moyenne","Basse")))</f>
        <v/>
      </c>
    </row>
    <row r="41" customFormat="false" ht="15" hidden="false" customHeight="false" outlineLevel="0" collapsed="false">
      <c r="A41" s="12" t="n">
        <v>37</v>
      </c>
      <c r="B41" s="13"/>
      <c r="C41" s="13"/>
      <c r="D41" s="14"/>
      <c r="E41" s="13"/>
      <c r="F41" s="13"/>
      <c r="G41" s="13"/>
      <c r="H41" s="13"/>
      <c r="I41" s="15"/>
      <c r="J41" s="13"/>
      <c r="K41" s="16" t="str">
        <f aca="false">IF(OR(F41="",G41="",H41=""),"",F41*G41*H41)</f>
        <v/>
      </c>
      <c r="L41" s="16" t="str">
        <f aca="false">IF(K41="","",K41/60*Paramètres!$C$4)</f>
        <v/>
      </c>
      <c r="M41" s="16" t="str">
        <f aca="false">IF(OR(L41="",I41=""),"",L41*I41)</f>
        <v/>
      </c>
      <c r="N41" s="17" t="str">
        <f aca="false">IF(OR(M41="",J41="",J41=0),"",M41/J41)</f>
        <v/>
      </c>
      <c r="O41" s="18" t="str">
        <f aca="false">IF(N41="","",IF(N41&gt;=Paramètres!$C$6,"Haute",IF(N41&gt;=Paramètres!$C$7,"Moyenne","Basse")))</f>
        <v/>
      </c>
    </row>
    <row r="42" customFormat="false" ht="15" hidden="false" customHeight="false" outlineLevel="0" collapsed="false">
      <c r="A42" s="12" t="n">
        <v>38</v>
      </c>
      <c r="B42" s="13"/>
      <c r="C42" s="13"/>
      <c r="D42" s="14"/>
      <c r="E42" s="13"/>
      <c r="F42" s="13"/>
      <c r="G42" s="13"/>
      <c r="H42" s="13"/>
      <c r="I42" s="15"/>
      <c r="J42" s="13"/>
      <c r="K42" s="16" t="str">
        <f aca="false">IF(OR(F42="",G42="",H42=""),"",F42*G42*H42)</f>
        <v/>
      </c>
      <c r="L42" s="16" t="str">
        <f aca="false">IF(K42="","",K42/60*Paramètres!$C$4)</f>
        <v/>
      </c>
      <c r="M42" s="16" t="str">
        <f aca="false">IF(OR(L42="",I42=""),"",L42*I42)</f>
        <v/>
      </c>
      <c r="N42" s="17" t="str">
        <f aca="false">IF(OR(M42="",J42="",J42=0),"",M42/J42)</f>
        <v/>
      </c>
      <c r="O42" s="18" t="str">
        <f aca="false">IF(N42="","",IF(N42&gt;=Paramètres!$C$6,"Haute",IF(N42&gt;=Paramètres!$C$7,"Moyenne","Basse")))</f>
        <v/>
      </c>
    </row>
    <row r="43" customFormat="false" ht="15" hidden="false" customHeight="false" outlineLevel="0" collapsed="false">
      <c r="A43" s="12" t="n">
        <v>39</v>
      </c>
      <c r="B43" s="13"/>
      <c r="C43" s="13"/>
      <c r="D43" s="14"/>
      <c r="E43" s="13"/>
      <c r="F43" s="13"/>
      <c r="G43" s="13"/>
      <c r="H43" s="13"/>
      <c r="I43" s="15"/>
      <c r="J43" s="13"/>
      <c r="K43" s="16" t="str">
        <f aca="false">IF(OR(F43="",G43="",H43=""),"",F43*G43*H43)</f>
        <v/>
      </c>
      <c r="L43" s="16" t="str">
        <f aca="false">IF(K43="","",K43/60*Paramètres!$C$4)</f>
        <v/>
      </c>
      <c r="M43" s="16" t="str">
        <f aca="false">IF(OR(L43="",I43=""),"",L43*I43)</f>
        <v/>
      </c>
      <c r="N43" s="17" t="str">
        <f aca="false">IF(OR(M43="",J43="",J43=0),"",M43/J43)</f>
        <v/>
      </c>
      <c r="O43" s="18" t="str">
        <f aca="false">IF(N43="","",IF(N43&gt;=Paramètres!$C$6,"Haute",IF(N43&gt;=Paramètres!$C$7,"Moyenne","Basse")))</f>
        <v/>
      </c>
    </row>
    <row r="44" customFormat="false" ht="15" hidden="false" customHeight="false" outlineLevel="0" collapsed="false">
      <c r="A44" s="12" t="n">
        <v>40</v>
      </c>
      <c r="B44" s="13"/>
      <c r="C44" s="13"/>
      <c r="D44" s="14"/>
      <c r="E44" s="13"/>
      <c r="F44" s="13"/>
      <c r="G44" s="13"/>
      <c r="H44" s="13"/>
      <c r="I44" s="15"/>
      <c r="J44" s="13"/>
      <c r="K44" s="16" t="str">
        <f aca="false">IF(OR(F44="",G44="",H44=""),"",F44*G44*H44)</f>
        <v/>
      </c>
      <c r="L44" s="16" t="str">
        <f aca="false">IF(K44="","",K44/60*Paramètres!$C$4)</f>
        <v/>
      </c>
      <c r="M44" s="16" t="str">
        <f aca="false">IF(OR(L44="",I44=""),"",L44*I44)</f>
        <v/>
      </c>
      <c r="N44" s="17" t="str">
        <f aca="false">IF(OR(M44="",J44="",J44=0),"",M44/J44)</f>
        <v/>
      </c>
      <c r="O44" s="18" t="str">
        <f aca="false">IF(N44="","",IF(N44&gt;=Paramètres!$C$6,"Haute",IF(N44&gt;=Paramètres!$C$7,"Moyenne","Basse")))</f>
        <v/>
      </c>
    </row>
    <row r="46" customFormat="false" ht="15" hidden="false" customHeight="false" outlineLevel="0" collapsed="false">
      <c r="D46" s="19" t="s">
        <v>36</v>
      </c>
    </row>
  </sheetData>
  <conditionalFormatting sqref="O5:O44">
    <cfRule type="cellIs" priority="2" operator="equal" aboveAverage="0" equalAverage="0" bottom="0" percent="0" rank="0" text="" dxfId="0">
      <formula>"Haute"</formula>
    </cfRule>
    <cfRule type="cellIs" priority="3" operator="equal" aboveAverage="0" equalAverage="0" bottom="0" percent="0" rank="0" text="" dxfId="1">
      <formula>"Moyenne"</formula>
    </cfRule>
    <cfRule type="cellIs" priority="4" operator="equal" aboveAverage="0" equalAverage="0" bottom="0" percent="0" rank="0" text="" dxfId="2">
      <formula>"Basse"</formula>
    </cfRule>
  </conditionalFormatting>
  <dataValidations count="2">
    <dataValidation allowBlank="false" error="Saisissez 1, 2 ou 3." errorStyle="stop" operator="between" showDropDown="false" showErrorMessage="true" showInputMessage="false" sqref="J5:J44" type="whole">
      <formula1>1</formula1>
      <formula2>3</formula2>
    </dataValidation>
    <dataValidation allowBlank="false" error="Saisissez un pourcentage entre 0 et 100 %." errorStyle="stop" operator="between" showDropDown="false" showErrorMessage="true" showInputMessage="false" sqref="I5:I4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1E"/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8" t="s">
        <v>37</v>
      </c>
    </row>
    <row r="3" customFormat="false" ht="15" hidden="false" customHeight="false" outlineLevel="0" collapsed="false">
      <c r="B3" s="12" t="str">
        <f aca="false">IF(Chiffrage!B2="","","Client : "&amp;Chiffrage!B2)</f>
        <v/>
      </c>
    </row>
    <row r="5" customFormat="false" ht="15" hidden="false" customHeight="false" outlineLevel="0" collapsed="false">
      <c r="B5" s="20" t="s">
        <v>38</v>
      </c>
      <c r="C5" s="21" t="n">
        <f aca="false">COUNT(Chiffrage!K5:K44)</f>
        <v>1</v>
      </c>
      <c r="D5" s="19"/>
    </row>
    <row r="6" customFormat="false" ht="15" hidden="false" customHeight="false" outlineLevel="0" collapsed="false">
      <c r="B6" s="20" t="s">
        <v>39</v>
      </c>
      <c r="C6" s="22" t="n">
        <f aca="false">SUM(Chiffrage!L5:L44)</f>
        <v>73.3333333333333</v>
      </c>
      <c r="D6" s="19"/>
    </row>
    <row r="7" customFormat="false" ht="15" hidden="false" customHeight="false" outlineLevel="0" collapsed="false">
      <c r="B7" s="20" t="s">
        <v>40</v>
      </c>
      <c r="C7" s="23" t="n">
        <f aca="false">SUM(Chiffrage!M5:M44)</f>
        <v>51.3333333333333</v>
      </c>
      <c r="D7" s="19" t="s">
        <v>41</v>
      </c>
    </row>
    <row r="8" customFormat="false" ht="15" hidden="false" customHeight="false" outlineLevel="0" collapsed="false">
      <c r="B8" s="20" t="s">
        <v>42</v>
      </c>
      <c r="C8" s="22" t="n">
        <f aca="false">IFERROR(C7/Paramètres!$C$5,0)</f>
        <v>7.33333333333333</v>
      </c>
      <c r="D8" s="19"/>
    </row>
    <row r="9" customFormat="false" ht="15" hidden="false" customHeight="false" outlineLevel="0" collapsed="false">
      <c r="B9" s="20" t="s">
        <v>43</v>
      </c>
      <c r="C9" s="21" t="n">
        <f aca="false">COUNTIF(Chiffrage!O5:O44,"Haute")</f>
        <v>1</v>
      </c>
      <c r="D9" s="19"/>
    </row>
    <row r="10" customFormat="false" ht="15" hidden="false" customHeight="false" outlineLevel="0" collapsed="false">
      <c r="B10" s="20" t="s">
        <v>44</v>
      </c>
      <c r="C10" s="21" t="n">
        <f aca="false">COUNTIF(Chiffrage!O5:O44,"Moyenne")</f>
        <v>0</v>
      </c>
      <c r="D10" s="19"/>
    </row>
    <row r="11" customFormat="false" ht="15" hidden="false" customHeight="false" outlineLevel="0" collapsed="false">
      <c r="B11" s="20" t="s">
        <v>45</v>
      </c>
      <c r="C11" s="21" t="n">
        <f aca="false">COUNTIF(Chiffrage!O5:O44,"Basse")</f>
        <v>0</v>
      </c>
      <c r="D11" s="19"/>
    </row>
    <row r="12" customFormat="false" ht="15" hidden="false" customHeight="false" outlineLevel="0" collapsed="false">
      <c r="B12" s="20" t="s">
        <v>46</v>
      </c>
      <c r="C12" s="22" t="n">
        <f aca="false">SUMIF(Chiffrage!O5:O44,"Haute",Chiffrage!M5:M44)</f>
        <v>51.3333333333333</v>
      </c>
      <c r="D12" s="19" t="s">
        <v>47</v>
      </c>
    </row>
    <row r="15" customFormat="false" ht="16.15" hidden="false" customHeight="false" outlineLevel="0" collapsed="false">
      <c r="B15" s="24" t="s">
        <v>48</v>
      </c>
    </row>
    <row r="16" customFormat="false" ht="15" hidden="false" customHeight="false" outlineLevel="0" collapsed="false">
      <c r="B16" s="25" t="s">
        <v>49</v>
      </c>
      <c r="C16" s="25" t="s">
        <v>29</v>
      </c>
      <c r="D16" s="25" t="s">
        <v>28</v>
      </c>
    </row>
    <row r="17" customFormat="false" ht="15" hidden="false" customHeight="false" outlineLevel="0" collapsed="false">
      <c r="B17" s="13" t="s">
        <v>32</v>
      </c>
      <c r="C17" s="26" t="n">
        <f aca="false">IF(B17="","",SUMIF(Chiffrage!B5:B44,B17,Chiffrage!M5:M44))</f>
        <v>51.3333333333333</v>
      </c>
      <c r="D17" s="26" t="n">
        <f aca="false">IF(B17="","",SUMIF(Chiffrage!B5:B44,B17,Chiffrage!L5:L44))</f>
        <v>73.3333333333333</v>
      </c>
    </row>
    <row r="18" customFormat="false" ht="15" hidden="false" customHeight="false" outlineLevel="0" collapsed="false">
      <c r="B18" s="13"/>
      <c r="C18" s="26" t="str">
        <f aca="false">IF(B18="","",SUMIF(Chiffrage!B5:B44,B18,Chiffrage!M5:M44))</f>
        <v/>
      </c>
      <c r="D18" s="26" t="str">
        <f aca="false">IF(B18="","",SUMIF(Chiffrage!B5:B44,B18,Chiffrage!L5:L44))</f>
        <v/>
      </c>
    </row>
    <row r="19" customFormat="false" ht="15" hidden="false" customHeight="false" outlineLevel="0" collapsed="false">
      <c r="B19" s="13"/>
      <c r="C19" s="26" t="str">
        <f aca="false">IF(B19="","",SUMIF(Chiffrage!B5:B44,B19,Chiffrage!M5:M44))</f>
        <v/>
      </c>
      <c r="D19" s="26" t="str">
        <f aca="false">IF(B19="","",SUMIF(Chiffrage!B5:B44,B19,Chiffrage!L5:L44))</f>
        <v/>
      </c>
    </row>
    <row r="20" customFormat="false" ht="15" hidden="false" customHeight="false" outlineLevel="0" collapsed="false">
      <c r="B20" s="13"/>
      <c r="C20" s="26" t="str">
        <f aca="false">IF(B20="","",SUMIF(Chiffrage!B5:B44,B20,Chiffrage!M5:M44))</f>
        <v/>
      </c>
      <c r="D20" s="26" t="str">
        <f aca="false">IF(B20="","",SUMIF(Chiffrage!B5:B44,B20,Chiffrage!L5:L44))</f>
        <v/>
      </c>
    </row>
    <row r="21" customFormat="false" ht="15" hidden="false" customHeight="false" outlineLevel="0" collapsed="false">
      <c r="B21" s="13"/>
      <c r="C21" s="26" t="str">
        <f aca="false">IF(B21="","",SUMIF(Chiffrage!B5:B44,B21,Chiffrage!M5:M44))</f>
        <v/>
      </c>
      <c r="D21" s="26" t="str">
        <f aca="false">IF(B21="","",SUMIF(Chiffrage!B5:B44,B21,Chiffrage!L5:L44))</f>
        <v/>
      </c>
    </row>
    <row r="22" customFormat="false" ht="15" hidden="false" customHeight="false" outlineLevel="0" collapsed="false">
      <c r="B22" s="13"/>
      <c r="C22" s="26" t="str">
        <f aca="false">IF(B22="","",SUMIF(Chiffrage!B5:B44,B22,Chiffrage!M5:M44))</f>
        <v/>
      </c>
      <c r="D22" s="26" t="str">
        <f aca="false">IF(B22="","",SUMIF(Chiffrage!B5:B44,B22,Chiffrage!L5:L44))</f>
        <v/>
      </c>
    </row>
    <row r="23" customFormat="false" ht="15" hidden="false" customHeight="false" outlineLevel="0" collapsed="false">
      <c r="B23" s="13"/>
      <c r="C23" s="26" t="str">
        <f aca="false">IF(B23="","",SUMIF(Chiffrage!B5:B44,B23,Chiffrage!M5:M44))</f>
        <v/>
      </c>
      <c r="D23" s="26" t="str">
        <f aca="false">IF(B23="","",SUMIF(Chiffrage!B5:B44,B23,Chiffrage!L5:L44))</f>
        <v/>
      </c>
    </row>
    <row r="24" customFormat="false" ht="15" hidden="false" customHeight="false" outlineLevel="0" collapsed="false">
      <c r="B24" s="13"/>
      <c r="C24" s="26" t="str">
        <f aca="false">IF(B24="","",SUMIF(Chiffrage!B5:B44,B24,Chiffrage!M5:M44))</f>
        <v/>
      </c>
      <c r="D24" s="26" t="str">
        <f aca="false">IF(B24="","",SUMIF(Chiffrage!B5:B44,B24,Chiffrage!L5:L44))</f>
        <v/>
      </c>
    </row>
    <row r="26" customFormat="false" ht="15" hidden="false" customHeight="false" outlineLevel="0" collapsed="false">
      <c r="B26" s="1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false"/>
  </sheetPr>
  <dimension ref="B2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19.7" hidden="false" customHeight="false" outlineLevel="0" collapsed="false">
      <c r="B2" s="8" t="s">
        <v>51</v>
      </c>
    </row>
    <row r="4" customFormat="false" ht="15" hidden="false" customHeight="false" outlineLevel="0" collapsed="false">
      <c r="B4" s="9" t="s">
        <v>52</v>
      </c>
      <c r="C4" s="27" t="n">
        <v>44</v>
      </c>
      <c r="D4" s="28" t="s">
        <v>53</v>
      </c>
    </row>
    <row r="5" customFormat="false" ht="15" hidden="false" customHeight="false" outlineLevel="0" collapsed="false">
      <c r="B5" s="9" t="s">
        <v>54</v>
      </c>
      <c r="C5" s="27" t="n">
        <v>7</v>
      </c>
      <c r="D5" s="28" t="s">
        <v>55</v>
      </c>
    </row>
    <row r="6" customFormat="false" ht="15" hidden="false" customHeight="false" outlineLevel="0" collapsed="false">
      <c r="B6" s="9" t="s">
        <v>56</v>
      </c>
      <c r="C6" s="27" t="n">
        <v>40</v>
      </c>
      <c r="D6" s="28" t="s">
        <v>57</v>
      </c>
    </row>
    <row r="7" customFormat="false" ht="15" hidden="false" customHeight="false" outlineLevel="0" collapsed="false">
      <c r="B7" s="9" t="s">
        <v>58</v>
      </c>
      <c r="C7" s="27" t="n">
        <v>15</v>
      </c>
      <c r="D7" s="2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2026-10-02T19:38:28Z</dcterms:created>
  <dc:creator>openpyxl</dc:creator>
  <dc:description/>
  <dc:language>en-US</dc:language>
  <cp:lastModifiedBy/>
  <dcterms:modified xsi:type="dcterms:W3CDTF">2026-10-02T19:38:28Z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